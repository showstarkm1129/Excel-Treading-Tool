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h1205\Downloads\"/>
    </mc:Choice>
  </mc:AlternateContent>
  <xr:revisionPtr revIDLastSave="0" documentId="13_ncr:1_{556F9D59-BA54-4E8C-8981-64741359C0FD}" xr6:coauthVersionLast="47" xr6:coauthVersionMax="47" xr10:uidLastSave="{00000000-0000-0000-0000-000000000000}"/>
  <bookViews>
    <workbookView xWindow="0" yWindow="20" windowWidth="17200" windowHeight="11400" firstSheet="3" activeTab="3" xr2:uid="{00000000-000D-0000-FFFF-FFFF00000000}"/>
  </bookViews>
  <sheets>
    <sheet name="目次" sheetId="4" r:id="rId1"/>
    <sheet name="一括発注_国内株" sheetId="1" r:id="rId2"/>
    <sheet name="一括発注_先物OP" sheetId="2" r:id="rId3"/>
    <sheet name="トリガー発注" sheetId="3" r:id="rId4"/>
    <sheet name="発注ID一覧" sheetId="5" r:id="rId5"/>
    <sheet name="建玉一覧" sheetId="6" r:id="rId6"/>
    <sheet name="トリガー発注 (2)" sheetId="7" r:id="rId7"/>
  </sheets>
  <definedNames>
    <definedName name="_xlpm.dummy" hidden="1" xlm="1">#NAME?</definedName>
    <definedName name="_xlpm.m" hidden="1" xlm="1">#NAME?</definedName>
    <definedName name="_xlpm.p" hidden="1" xlm="1">#NAME?</definedName>
    <definedName name="_xlpm.r" hidden="1" xlm="1">#NAME?</definedName>
    <definedName name="_xlpm.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9" i="3" l="1"/>
  <c r="O31" i="7" a="1"/>
  <c r="O31" i="7" s="1"/>
  <c r="O22" i="7"/>
  <c r="O33" i="7"/>
  <c r="T19" i="7"/>
  <c r="AA12" i="7"/>
  <c r="Z12" i="7"/>
  <c r="R20" i="7"/>
  <c r="Y12" i="3" a="1"/>
  <c r="Y12" i="3" s="1"/>
  <c r="X12" i="3" a="1"/>
  <c r="X12" i="3" s="1"/>
  <c r="W12" i="3" a="1"/>
  <c r="W12" i="3" s="1"/>
  <c r="V12" i="3" a="1"/>
  <c r="V12" i="3" s="1"/>
  <c r="T12" i="3" a="1"/>
  <c r="T12" i="3" s="1"/>
  <c r="S12" i="3" a="1"/>
  <c r="S12" i="3" s="1"/>
  <c r="Y12" i="7" a="1"/>
  <c r="Y12" i="7" s="1"/>
  <c r="X12" i="7" a="1"/>
  <c r="X12" i="7" s="1"/>
  <c r="W12" i="7" a="1"/>
  <c r="W12" i="7" s="1"/>
  <c r="V12" i="7" a="1"/>
  <c r="V12" i="7" s="1"/>
  <c r="T12" i="7" a="1"/>
  <c r="T12" i="7" s="1"/>
  <c r="S12" i="7" a="1"/>
  <c r="S12" i="7" s="1"/>
  <c r="O46" i="7" a="1"/>
  <c r="O46" i="7" s="1"/>
  <c r="O47" i="7" a="1"/>
  <c r="O47" i="7" s="1"/>
  <c r="O48" i="7" a="1"/>
  <c r="O48" i="7" s="1"/>
  <c r="O50" i="7" a="1"/>
  <c r="O50" i="7" s="1"/>
  <c r="K16" i="7"/>
  <c r="O27" i="7"/>
  <c r="P27" i="7" s="1"/>
  <c r="P44" i="7"/>
  <c r="Q42" i="7"/>
  <c r="P42" i="7"/>
  <c r="N42" i="7"/>
  <c r="P41" i="7"/>
  <c r="P39" i="7"/>
  <c r="P38" i="7"/>
  <c r="P36" i="7"/>
  <c r="P34" i="7"/>
  <c r="P32" i="7"/>
  <c r="Q30" i="7"/>
  <c r="P30" i="7"/>
  <c r="N30" i="7"/>
  <c r="P29" i="7"/>
  <c r="P28" i="7"/>
  <c r="P26" i="7"/>
  <c r="O23" i="7"/>
  <c r="V16" i="7"/>
  <c r="R17" i="7" s="1"/>
  <c r="V15" i="7"/>
  <c r="O20" i="7"/>
  <c r="F18" i="7"/>
  <c r="H14" i="7"/>
  <c r="F13" i="7"/>
  <c r="H13" i="7"/>
  <c r="C11" i="7"/>
  <c r="C13" i="7"/>
  <c r="R5" i="7"/>
  <c r="D16" i="7"/>
  <c r="F15" i="7"/>
  <c r="D14" i="7"/>
  <c r="C18" i="7"/>
  <c r="H15" i="7"/>
  <c r="K49" i="7"/>
  <c r="C14" i="7"/>
  <c r="H16" i="7"/>
  <c r="F16" i="7"/>
  <c r="C16" i="7"/>
  <c r="C17" i="7"/>
  <c r="D13" i="7"/>
  <c r="D18" i="7"/>
  <c r="D17" i="7"/>
  <c r="F14" i="7"/>
  <c r="F11" i="7"/>
  <c r="B49" i="7"/>
  <c r="F17" i="7"/>
  <c r="P23" i="7"/>
  <c r="D15" i="7"/>
  <c r="C15" i="7"/>
  <c r="E11" i="7"/>
  <c r="P20" i="7" l="1"/>
  <c r="U12" i="7"/>
  <c r="U19" i="7"/>
  <c r="Q20" i="7" a="1"/>
  <c r="A1" i="6" a="1"/>
  <c r="Q20" i="7" l="1"/>
  <c r="A1" i="6"/>
  <c r="P42" i="3"/>
  <c r="P30" i="3"/>
  <c r="R5" i="3"/>
  <c r="B49" i="3"/>
  <c r="F14" i="3"/>
  <c r="F18" i="3"/>
  <c r="P6" i="1"/>
  <c r="K49" i="3"/>
  <c r="C11" i="3"/>
  <c r="N6" i="2"/>
  <c r="A5" i="5"/>
  <c r="H14" i="3"/>
  <c r="P28" i="3" l="1"/>
  <c r="J34" i="1" l="1"/>
  <c r="J33" i="1"/>
  <c r="J32" i="1"/>
  <c r="J31" i="1"/>
  <c r="J30" i="1"/>
  <c r="J29" i="1"/>
  <c r="J28" i="1"/>
  <c r="J27" i="1"/>
  <c r="J26" i="1"/>
  <c r="J25" i="1"/>
  <c r="I34" i="1"/>
  <c r="I33" i="1"/>
  <c r="I32" i="1"/>
  <c r="I31" i="1"/>
  <c r="I30" i="1"/>
  <c r="I29" i="1"/>
  <c r="I28" i="1"/>
  <c r="I27" i="1"/>
  <c r="I26" i="1"/>
  <c r="I25" i="1"/>
  <c r="A4" i="5" l="1"/>
  <c r="G30" i="2" l="1"/>
  <c r="G29" i="2"/>
  <c r="G28" i="2"/>
  <c r="G27" i="2"/>
  <c r="G26" i="2"/>
  <c r="G25" i="2"/>
  <c r="G24" i="2"/>
  <c r="G23" i="2"/>
  <c r="D21" i="1"/>
  <c r="D20" i="1"/>
  <c r="D19" i="1"/>
  <c r="D18" i="1"/>
  <c r="D17" i="1"/>
  <c r="D16" i="1"/>
  <c r="D15" i="1"/>
  <c r="D14" i="1"/>
  <c r="D13" i="1"/>
  <c r="D12" i="1"/>
  <c r="C13" i="1"/>
  <c r="B13" i="2"/>
  <c r="P36" i="3" l="1"/>
  <c r="F24" i="2" l="1"/>
  <c r="H24" i="2" s="1"/>
  <c r="F25" i="2"/>
  <c r="H25" i="2" s="1"/>
  <c r="F26" i="2"/>
  <c r="H26" i="2" s="1"/>
  <c r="F27" i="2"/>
  <c r="H27" i="2" s="1"/>
  <c r="F28" i="2"/>
  <c r="H28" i="2" s="1"/>
  <c r="F29" i="2"/>
  <c r="H29" i="2" s="1"/>
  <c r="F30" i="2"/>
  <c r="H30" i="2" s="1"/>
  <c r="F23" i="2"/>
  <c r="H23" i="2" s="1"/>
  <c r="H31" i="2" s="1"/>
  <c r="B26" i="1" l="1"/>
  <c r="B25" i="1"/>
  <c r="F26" i="1"/>
  <c r="E26" i="1"/>
  <c r="G26" i="1" s="1"/>
  <c r="F25" i="1"/>
  <c r="G25" i="1" s="1"/>
  <c r="E25" i="1"/>
  <c r="F27" i="1"/>
  <c r="F28" i="1"/>
  <c r="F29" i="1"/>
  <c r="F30" i="1"/>
  <c r="F31" i="1"/>
  <c r="F32" i="1"/>
  <c r="F33" i="1"/>
  <c r="F34" i="1"/>
  <c r="C12" i="2" l="1"/>
  <c r="D8" i="2" l="1"/>
  <c r="B23" i="2"/>
  <c r="C25" i="1"/>
  <c r="B14" i="2"/>
  <c r="B15" i="2" s="1"/>
  <c r="B16" i="2" s="1"/>
  <c r="B17" i="2" s="1"/>
  <c r="B18" i="2" s="1"/>
  <c r="B19" i="2" s="1"/>
  <c r="C14" i="1"/>
  <c r="C15" i="1" s="1"/>
  <c r="C16" i="1" s="1"/>
  <c r="C17" i="1" s="1"/>
  <c r="C18" i="1" s="1"/>
  <c r="C19" i="1" s="1"/>
  <c r="C20" i="1" s="1"/>
  <c r="C21" i="1" s="1"/>
  <c r="C19" i="2"/>
  <c r="C18" i="2"/>
  <c r="C17" i="2"/>
  <c r="E34" i="1"/>
  <c r="E33" i="1"/>
  <c r="E32" i="1"/>
  <c r="E31" i="1"/>
  <c r="E30" i="1"/>
  <c r="E29" i="1"/>
  <c r="E28" i="1"/>
  <c r="E27" i="1"/>
  <c r="D34" i="1"/>
  <c r="D33" i="1"/>
  <c r="D32" i="1"/>
  <c r="D31" i="1"/>
  <c r="D30" i="1"/>
  <c r="D28" i="1"/>
  <c r="D27" i="1"/>
  <c r="D26" i="1"/>
  <c r="H16" i="2"/>
  <c r="C27" i="2" s="1"/>
  <c r="H19" i="2"/>
  <c r="C30" i="2" s="1"/>
  <c r="H15" i="2"/>
  <c r="C26" i="2" s="1"/>
  <c r="H18" i="2"/>
  <c r="C29" i="2" s="1"/>
  <c r="H14" i="2"/>
  <c r="C25" i="2" s="1"/>
  <c r="H17" i="2"/>
  <c r="C28" i="2" s="1"/>
  <c r="H13" i="2"/>
  <c r="C24" i="2" s="1"/>
  <c r="H12" i="2"/>
  <c r="C23" i="2" s="1"/>
  <c r="D25" i="1"/>
  <c r="D29" i="1"/>
  <c r="E5" i="4" l="1"/>
  <c r="E8" i="4"/>
  <c r="E11" i="4"/>
  <c r="V15" i="3"/>
  <c r="V16" i="3"/>
  <c r="O23" i="3"/>
  <c r="P26" i="3"/>
  <c r="P27" i="3"/>
  <c r="P29" i="3"/>
  <c r="N30" i="3"/>
  <c r="Q30" i="3"/>
  <c r="P32" i="3"/>
  <c r="P34" i="3"/>
  <c r="P38" i="3"/>
  <c r="P39" i="3"/>
  <c r="P41" i="3"/>
  <c r="N42" i="3"/>
  <c r="Q42" i="3"/>
  <c r="P44" i="3"/>
  <c r="B24" i="2"/>
  <c r="C13" i="2"/>
  <c r="C14" i="2"/>
  <c r="C15" i="2"/>
  <c r="C16" i="2"/>
  <c r="J30" i="2"/>
  <c r="J26" i="2"/>
  <c r="J29" i="2"/>
  <c r="J25" i="2"/>
  <c r="J28" i="2"/>
  <c r="J24" i="2"/>
  <c r="J27" i="2"/>
  <c r="J23" i="2"/>
  <c r="H16" i="3"/>
  <c r="C13" i="3"/>
  <c r="E11" i="3"/>
  <c r="D17" i="3"/>
  <c r="C15" i="3"/>
  <c r="C14" i="3"/>
  <c r="D14" i="3"/>
  <c r="C16" i="3"/>
  <c r="D13" i="3"/>
  <c r="H13" i="3"/>
  <c r="F16" i="3"/>
  <c r="F15" i="3"/>
  <c r="C18" i="3"/>
  <c r="D15" i="3"/>
  <c r="F17" i="3"/>
  <c r="D18" i="3"/>
  <c r="H15" i="3"/>
  <c r="F13" i="3"/>
  <c r="D16" i="3"/>
  <c r="F11" i="3"/>
  <c r="P23" i="3"/>
  <c r="C17" i="3"/>
  <c r="R17" i="3" l="1"/>
  <c r="K27" i="2"/>
  <c r="K24" i="2"/>
  <c r="K28" i="2"/>
  <c r="K25" i="2"/>
  <c r="K29" i="2"/>
  <c r="K26" i="2"/>
  <c r="K30" i="2"/>
  <c r="K23" i="2"/>
  <c r="U12" i="3"/>
  <c r="E8" i="1"/>
  <c r="O20" i="3"/>
  <c r="P20" i="3" l="1"/>
  <c r="U19" i="3"/>
  <c r="B25" i="2"/>
  <c r="B26" i="2" l="1"/>
  <c r="C26" i="1"/>
  <c r="B27" i="2" l="1"/>
  <c r="B27" i="1"/>
  <c r="C27" i="1"/>
  <c r="B28" i="1"/>
  <c r="C28" i="1"/>
  <c r="B29" i="1"/>
  <c r="C29" i="1"/>
  <c r="B30" i="1"/>
  <c r="C30" i="1"/>
  <c r="G30" i="1"/>
  <c r="B31" i="1"/>
  <c r="C31" i="1"/>
  <c r="B32" i="1"/>
  <c r="C32" i="1"/>
  <c r="B33" i="1"/>
  <c r="C33" i="1"/>
  <c r="B34" i="1"/>
  <c r="C34" i="1"/>
  <c r="G36" i="1" l="1"/>
  <c r="B28" i="2"/>
  <c r="G32" i="1"/>
  <c r="G28" i="1"/>
  <c r="G34" i="1"/>
  <c r="G33" i="1"/>
  <c r="G29" i="1"/>
  <c r="G31" i="1"/>
  <c r="G27" i="1"/>
  <c r="G35" i="1" s="1"/>
  <c r="B29" i="2" l="1"/>
  <c r="B3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山本 昭弘</author>
  </authors>
  <commentList>
    <comment ref="B11" authorId="0" shapeId="0" xr:uid="{00000000-0006-0000-0100-000001000000}">
      <text>
        <r>
          <rPr>
            <sz val="9"/>
            <color indexed="81"/>
            <rFont val="Meiryo UI"/>
            <family val="3"/>
            <charset val="128"/>
          </rPr>
          <t>0：現物
1：信用</t>
        </r>
      </text>
    </comment>
    <comment ref="C11" authorId="0" shapeId="0" xr:uid="{00000000-0006-0000-0100-000002000000}">
      <text>
        <r>
          <rPr>
            <sz val="9"/>
            <color indexed="81"/>
            <rFont val="Meiryo UI"/>
            <family val="3"/>
            <charset val="128"/>
          </rPr>
          <t xml:space="preserve">EXCEL単位で固有の管理番号の入力が必要となります
</t>
        </r>
      </text>
    </comment>
    <comment ref="D11" authorId="0" shapeId="0" xr:uid="{00000000-0006-0000-0100-000003000000}">
      <text>
        <r>
          <rPr>
            <sz val="9"/>
            <color indexed="81"/>
            <rFont val="Meiryo UI"/>
            <family val="3"/>
            <charset val="128"/>
          </rPr>
          <t>TRUE:発注
FALSE：待機
条件の入力が完了するまではFALSEとしてください</t>
        </r>
      </text>
    </comment>
    <comment ref="E11" authorId="0" shapeId="0" xr:uid="{00000000-0006-0000-0100-000004000000}">
      <text>
        <r>
          <rPr>
            <sz val="9"/>
            <color indexed="81"/>
            <rFont val="Meiryo UI"/>
            <family val="3"/>
            <charset val="128"/>
          </rPr>
          <t>「銘柄コード.市場」で入力「.市場」は省略可能。省略時は東証。
.T:東証
.JNX: JNX
.CHJ: Chi-X</t>
        </r>
      </text>
    </comment>
    <comment ref="F11" authorId="0" shapeId="0" xr:uid="{00000000-0006-0000-0100-000005000000}">
      <text>
        <r>
          <rPr>
            <sz val="9"/>
            <color indexed="81"/>
            <rFont val="Meiryo UI"/>
            <family val="3"/>
            <charset val="128"/>
          </rPr>
          <t>1：売
3：買</t>
        </r>
      </text>
    </comment>
    <comment ref="G11" authorId="0" shapeId="0" xr:uid="{00000000-0006-0000-0100-000006000000}">
      <text>
        <r>
          <rPr>
            <sz val="9"/>
            <color indexed="81"/>
            <rFont val="Meiryo UI"/>
            <family val="3"/>
            <charset val="128"/>
          </rPr>
          <t>0：通常注文
1：逆指値付通常注文
2：逆指値注文
省略時は通常注文</t>
        </r>
      </text>
    </comment>
    <comment ref="H11" authorId="0" shapeId="0" xr:uid="{00000000-0006-0000-0100-000007000000}">
      <text>
        <r>
          <rPr>
            <sz val="9"/>
            <color indexed="81"/>
            <rFont val="Meiryo UI"/>
            <family val="3"/>
            <charset val="128"/>
          </rPr>
          <t>0：通常注文
1：SOR注文</t>
        </r>
      </text>
    </comment>
    <comment ref="I11" authorId="1" shapeId="0" xr:uid="{00000000-0006-0000-0100-000008000000}">
      <text>
        <r>
          <rPr>
            <sz val="9"/>
            <color indexed="81"/>
            <rFont val="Meiryo UI"/>
            <family val="3"/>
            <charset val="128"/>
          </rPr>
          <t>1：制度信用（６カ月）
2：一般信用（無制限）
3：一般信用（１４日）
4：一般信用（いちにち）</t>
        </r>
      </text>
    </comment>
    <comment ref="J11" authorId="1" shapeId="0" xr:uid="{00000000-0006-0000-0100-000009000000}">
      <text>
        <r>
          <rPr>
            <sz val="9"/>
            <color indexed="81"/>
            <rFont val="Meiryo UI"/>
            <family val="3"/>
            <charset val="128"/>
          </rPr>
          <t>注文数量を入力</t>
        </r>
      </text>
    </comment>
    <comment ref="K11" authorId="0" shapeId="0" xr:uid="{00000000-0006-0000-0100-00000A000000}">
      <text>
        <r>
          <rPr>
            <sz val="9"/>
            <color indexed="81"/>
            <rFont val="Meiryo UI"/>
            <family val="3"/>
            <charset val="128"/>
          </rPr>
          <t xml:space="preserve">0：成行
1：指値
</t>
        </r>
      </text>
    </comment>
    <comment ref="L11" authorId="0" shapeId="0" xr:uid="{00000000-0006-0000-0100-00000B000000}">
      <text>
        <r>
          <rPr>
            <sz val="9"/>
            <color indexed="81"/>
            <rFont val="Meiryo UI"/>
            <family val="3"/>
            <charset val="128"/>
          </rPr>
          <t>注文価格を入力。
成行の場合は省略。
（注文区分が「0：通常注文」、
「1：逆指値付通常注文」の場合は必須）</t>
        </r>
      </text>
    </comment>
    <comment ref="M11" authorId="0" shapeId="0" xr:uid="{00000000-0006-0000-0100-00000C000000}">
      <text>
        <r>
          <rPr>
            <sz val="9"/>
            <color indexed="81"/>
            <rFont val="Meiryo UI"/>
            <family val="3"/>
            <charset val="128"/>
          </rPr>
          <t>1：本日中
2：今週中
3：寄付
4：引け
5：期間指定
6：大引不成
7：不成</t>
        </r>
      </text>
    </comment>
    <comment ref="N11" authorId="0" shapeId="0" xr:uid="{00000000-0006-0000-0100-00000D000000}">
      <text>
        <r>
          <rPr>
            <sz val="9"/>
            <color indexed="81"/>
            <rFont val="Meiryo UI"/>
            <family val="3"/>
            <charset val="128"/>
          </rPr>
          <t>YYYYMMDD
執行条件が「5：期間指定」の場合必須</t>
        </r>
      </text>
    </comment>
    <comment ref="O11" authorId="1" shapeId="0" xr:uid="{00000000-0006-0000-0100-00000E000000}">
      <text>
        <r>
          <rPr>
            <sz val="9"/>
            <color indexed="81"/>
            <rFont val="Meiryo UI"/>
            <family val="3"/>
            <charset val="128"/>
          </rPr>
          <t>0：特定
1：一般
2：NISA</t>
        </r>
      </text>
    </comment>
    <comment ref="P11" authorId="0" shapeId="0" xr:uid="{00000000-0006-0000-0100-00000F000000}">
      <text>
        <r>
          <rPr>
            <sz val="9"/>
            <color indexed="81"/>
            <rFont val="Meiryo UI"/>
            <family val="3"/>
            <charset val="128"/>
          </rPr>
          <t>逆指値条件価格を入力。
（注文区分が「1：逆指値付通常注文」、「2：逆指値注文」の場合必須）</t>
        </r>
      </text>
    </comment>
    <comment ref="Q11" authorId="1" shapeId="0" xr:uid="{00000000-0006-0000-0100-000010000000}">
      <text>
        <r>
          <rPr>
            <sz val="9"/>
            <color indexed="81"/>
            <rFont val="Meiryo UI"/>
            <family val="3"/>
            <charset val="128"/>
          </rPr>
          <t>1：以上
2：以下
（注文区分が「1：逆指値付き通常注文」、「2：逆指値注文」の場合必須）</t>
        </r>
      </text>
    </comment>
    <comment ref="R11" authorId="1" shapeId="0" xr:uid="{00000000-0006-0000-0100-000011000000}">
      <text>
        <r>
          <rPr>
            <sz val="9"/>
            <color indexed="81"/>
            <rFont val="Meiryo UI"/>
            <family val="3"/>
            <charset val="128"/>
          </rPr>
          <t>0：成行
1：指値
（注文区分が「1：逆指値付通常注文」、「2：逆指値注文」の場合必須）</t>
        </r>
      </text>
    </comment>
    <comment ref="S11" authorId="0" shapeId="0" xr:uid="{00000000-0006-0000-0100-000012000000}">
      <text>
        <r>
          <rPr>
            <sz val="9"/>
            <color indexed="81"/>
            <rFont val="Meiryo UI"/>
            <family val="3"/>
            <charset val="128"/>
          </rPr>
          <t>逆指値価格を入力。成行の場合は省略（注文区分が「」1：逆指値付通常注文」、「2：逆指値付注文」の場合必須）</t>
        </r>
      </text>
    </comment>
    <comment ref="T11" authorId="1" shapeId="0" xr:uid="{00000000-0006-0000-0100-000013000000}">
      <text>
        <r>
          <rPr>
            <sz val="9"/>
            <color indexed="81"/>
            <rFont val="Meiryo UI"/>
            <family val="3"/>
            <charset val="128"/>
          </rPr>
          <t>0：予約しない
1：予約する
（省略時は「予約しない」）</t>
        </r>
      </text>
    </comment>
    <comment ref="U11" authorId="0" shapeId="0" xr:uid="{00000000-0006-0000-0100-000014000000}">
      <text>
        <r>
          <rPr>
            <sz val="9"/>
            <color indexed="81"/>
            <rFont val="Meiryo UI"/>
            <family val="3"/>
            <charset val="128"/>
          </rPr>
          <t xml:space="preserve">1：指値
2：値幅指定
(セット注文区分が「1：セット注文(予約する)」の場合、必須。)
</t>
        </r>
      </text>
    </comment>
    <comment ref="V11" authorId="0" shapeId="0" xr:uid="{00000000-0006-0000-0100-000015000000}">
      <text>
        <r>
          <rPr>
            <sz val="9"/>
            <color indexed="81"/>
            <rFont val="Meiryo UI"/>
            <family val="3"/>
            <charset val="128"/>
          </rPr>
          <t xml:space="preserve">セット注文価格を入力
（セット注文区分が「1：セット注文（予約する）の場合、必須）
</t>
        </r>
      </text>
    </comment>
    <comment ref="W11" authorId="0" shapeId="0" xr:uid="{00000000-0006-0000-0100-000016000000}">
      <text>
        <r>
          <rPr>
            <sz val="9"/>
            <color indexed="81"/>
            <rFont val="Meiryo UI"/>
            <family val="3"/>
            <charset val="128"/>
          </rPr>
          <t xml:space="preserve">1：本日中
2：今週中
3：寄付
4：引け
5：期間指定
6：大引不成
7：不成
（セット注文区分が「1：セット注文（予約する）」の場合、必須
</t>
        </r>
      </text>
    </comment>
    <comment ref="X11" authorId="0" shapeId="0" xr:uid="{00000000-0006-0000-0100-000017000000}">
      <text>
        <r>
          <rPr>
            <sz val="9"/>
            <color indexed="81"/>
            <rFont val="Meiryo UI"/>
            <family val="3"/>
            <charset val="128"/>
          </rPr>
          <t>YYYYMMDD
セット注文執行条件が「5：期間指定」の場合必須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Kawakami, Taichi</author>
    <author>山本 昭弘</author>
  </authors>
  <commentList>
    <comment ref="B11" authorId="0" shapeId="0" xr:uid="{00000000-0006-0000-0200-000001000000}">
      <text>
        <r>
          <rPr>
            <sz val="9"/>
            <color indexed="81"/>
            <rFont val="Meiryo UI"/>
            <family val="3"/>
            <charset val="128"/>
          </rPr>
          <t xml:space="preserve">EXCEL単位で固有の
管理番号の入力が必要となります
</t>
        </r>
      </text>
    </comment>
    <comment ref="C11" authorId="0" shapeId="0" xr:uid="{00000000-0006-0000-0200-000002000000}">
      <text>
        <r>
          <rPr>
            <sz val="9"/>
            <color indexed="81"/>
            <rFont val="Meiryo UI"/>
            <family val="3"/>
            <charset val="128"/>
          </rPr>
          <t>1(TRUE) ：発注
0(FALSE)：待機
条件の入力が完了するまでは0としてください</t>
        </r>
      </text>
    </comment>
    <comment ref="D11" authorId="1" shapeId="0" xr:uid="{00000000-0006-0000-0200-000003000000}">
      <text>
        <r>
          <rPr>
            <sz val="9"/>
            <color indexed="81"/>
            <rFont val="Meiryo UI"/>
            <family val="3"/>
            <charset val="128"/>
          </rPr>
          <t>N225F：日経225先物、 N225MF：日経225先物ミニ、
MOTF：東証マザーズ先物、 N225OP：日経225オプション、
TOPXF：TOPIX先物、 JN400F：JPX日経400先物、
GOLDF：金、 GOLDMINIF：金ミニ、 GOLDSPOTF：金スポット、 PLATINUMF：白金、 PLATINUMMINIF：白金ミニ、 PLATINUMSPOTF：白金スポット、 SILVERF：銀、 
PALLADIUMF：パラジウム、 RSS3F：ゴム(RSS3)、
TSR20F：ゴム(TSR20)、 REDBEANF：小豆、
SOYBEANF：一般大豆、 CORNF：とうもろこし</t>
        </r>
      </text>
    </comment>
    <comment ref="E11" authorId="1" shapeId="0" xr:uid="{00000000-0006-0000-0200-000004000000}">
      <text>
        <r>
          <rPr>
            <sz val="9"/>
            <color indexed="81"/>
            <rFont val="Meiryo UI"/>
            <family val="3"/>
            <charset val="128"/>
          </rPr>
          <t>2021年3月限の場合「202103」
ウィークリーオプション時、
語尾に「#n」を指定
（例：2021年3月限4週「202103#4」）</t>
        </r>
      </text>
    </comment>
    <comment ref="F11" authorId="1" shapeId="0" xr:uid="{00000000-0006-0000-0200-000005000000}">
      <text>
        <r>
          <rPr>
            <sz val="9"/>
            <color indexed="81"/>
            <rFont val="Meiryo UI"/>
            <family val="3"/>
            <charset val="128"/>
          </rPr>
          <t>1：コール、
2：プット
（日経225オプション時、必須。）</t>
        </r>
      </text>
    </comment>
    <comment ref="G11" authorId="1" shapeId="0" xr:uid="{00000000-0006-0000-0200-000006000000}">
      <text>
        <r>
          <rPr>
            <sz val="9"/>
            <color indexed="81"/>
            <rFont val="Meiryo UI"/>
            <family val="3"/>
            <charset val="128"/>
          </rPr>
          <t>行使価格を入力する。
（日経225オプション時、必須。）</t>
        </r>
      </text>
    </comment>
    <comment ref="H11" authorId="0" shapeId="0" xr:uid="{00000000-0006-0000-0200-000007000000}">
      <text>
        <r>
          <rPr>
            <sz val="9"/>
            <color indexed="81"/>
            <rFont val="Meiryo UI"/>
            <family val="3"/>
            <charset val="128"/>
          </rPr>
          <t xml:space="preserve">先物・オプションの銘柄コードは、
取引所のルールに則り、9桁の数値にて構成されております。
</t>
        </r>
      </text>
    </comment>
    <comment ref="I11" authorId="0" shapeId="0" xr:uid="{00000000-0006-0000-0200-000008000000}">
      <text>
        <r>
          <rPr>
            <sz val="9"/>
            <color indexed="81"/>
            <rFont val="Meiryo UI"/>
            <family val="3"/>
            <charset val="128"/>
          </rPr>
          <t>1：売
3：買</t>
        </r>
      </text>
    </comment>
    <comment ref="J11" authorId="0" shapeId="0" xr:uid="{00000000-0006-0000-0200-000009000000}">
      <text>
        <r>
          <rPr>
            <sz val="9"/>
            <color indexed="81"/>
            <rFont val="Meiryo UI"/>
            <family val="3"/>
            <charset val="128"/>
          </rPr>
          <t>0：通常注文
1：逆指値付通常注文
2：逆指値注文
省略時は通常注文</t>
        </r>
      </text>
    </comment>
    <comment ref="K11" authorId="2" shapeId="0" xr:uid="{00000000-0006-0000-0200-00000A000000}">
      <text>
        <r>
          <rPr>
            <sz val="9"/>
            <color indexed="81"/>
            <rFont val="Meiryo UI"/>
            <family val="3"/>
            <charset val="128"/>
          </rPr>
          <t>注文数量を入力</t>
        </r>
      </text>
    </comment>
    <comment ref="L11" authorId="0" shapeId="0" xr:uid="{00000000-0006-0000-0200-00000B000000}">
      <text>
        <r>
          <rPr>
            <sz val="9"/>
            <color indexed="81"/>
            <rFont val="Meiryo UI"/>
            <family val="3"/>
            <charset val="128"/>
          </rPr>
          <t xml:space="preserve">0：成行
1：指値
</t>
        </r>
      </text>
    </comment>
    <comment ref="M11" authorId="0" shapeId="0" xr:uid="{00000000-0006-0000-0200-00000C000000}">
      <text>
        <r>
          <rPr>
            <sz val="9"/>
            <color indexed="81"/>
            <rFont val="Meiryo UI"/>
            <family val="3"/>
            <charset val="128"/>
          </rPr>
          <t>注文価格を入力。
成行の場合は省略。
（注文区分が「0：通常注文」、「1：逆指値付通常注文」の場合は必須）</t>
        </r>
      </text>
    </comment>
    <comment ref="N11" authorId="1" shapeId="0" xr:uid="{00000000-0006-0000-0200-00000D000000}">
      <text>
        <r>
          <rPr>
            <sz val="9"/>
            <color indexed="81"/>
            <rFont val="Meiryo UI"/>
            <family val="3"/>
            <charset val="128"/>
          </rPr>
          <t>1：FOK
2：FAK
3：FAS</t>
        </r>
      </text>
    </comment>
    <comment ref="O11" authorId="0" shapeId="0" xr:uid="{00000000-0006-0000-0200-00000E000000}">
      <text>
        <r>
          <rPr>
            <sz val="9"/>
            <color indexed="81"/>
            <rFont val="Meiryo UI"/>
            <family val="3"/>
            <charset val="128"/>
          </rPr>
          <t>1：本日中
4：引け
5：期間指定
9：取引最終日</t>
        </r>
      </text>
    </comment>
    <comment ref="P11" authorId="0" shapeId="0" xr:uid="{00000000-0006-0000-0200-00000F000000}">
      <text>
        <r>
          <rPr>
            <sz val="9"/>
            <color indexed="81"/>
            <rFont val="Meiryo UI"/>
            <family val="3"/>
            <charset val="128"/>
          </rPr>
          <t>YYYYMMDD
執行条件が「5：期間指定」の場合必須</t>
        </r>
      </text>
    </comment>
    <comment ref="Q11" authorId="0" shapeId="0" xr:uid="{00000000-0006-0000-0200-000010000000}">
      <text>
        <r>
          <rPr>
            <sz val="9"/>
            <color indexed="81"/>
            <rFont val="Meiryo UI"/>
            <family val="3"/>
            <charset val="128"/>
          </rPr>
          <t>逆指値条件価格を入力
（注文区分が「1：逆指値付通常注文」、「2：逆指値注文」の場合必須）</t>
        </r>
      </text>
    </comment>
    <comment ref="R11" authorId="2" shapeId="0" xr:uid="{00000000-0006-0000-0200-000011000000}">
      <text>
        <r>
          <rPr>
            <sz val="9"/>
            <color indexed="81"/>
            <rFont val="Meiryo UI"/>
            <family val="3"/>
            <charset val="128"/>
          </rPr>
          <t>1：以上
2：以下
（注文区分が「1：逆指値付き通常注文」、「2：逆指値注文」の場合必須）</t>
        </r>
      </text>
    </comment>
    <comment ref="S11" authorId="2" shapeId="0" xr:uid="{00000000-0006-0000-0200-000012000000}">
      <text>
        <r>
          <rPr>
            <sz val="9"/>
            <color indexed="81"/>
            <rFont val="Meiryo UI"/>
            <family val="3"/>
            <charset val="128"/>
          </rPr>
          <t>0：成行
1：指値
（注文区分が「1：逆指値付通常注文」、「2：逆指値注文」の場合必須）</t>
        </r>
      </text>
    </comment>
    <comment ref="T11" authorId="0" shapeId="0" xr:uid="{00000000-0006-0000-0200-000013000000}">
      <text>
        <r>
          <rPr>
            <sz val="9"/>
            <color indexed="81"/>
            <rFont val="Meiryo UI"/>
            <family val="3"/>
            <charset val="128"/>
          </rPr>
          <t>逆指値価格を入力。成行の場合は省略
（注文区分が「」1：逆指値付通常注文」、「2：逆指値付注文」の場合必須）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00000000-0006-0000-0300-000001000000}">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4309484A-2E1F-4C8F-808F-75FF98745A7D}">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<sst xmlns="http://schemas.openxmlformats.org/spreadsheetml/2006/main" count="853" uniqueCount="296">
  <si>
    <t>信用合計</t>
    <rPh sb="0" eb="2">
      <t>シンヨウ</t>
    </rPh>
    <rPh sb="2" eb="4">
      <t>ゴウケイ</t>
    </rPh>
    <phoneticPr fontId="4"/>
  </si>
  <si>
    <t>現物合計</t>
    <rPh sb="0" eb="2">
      <t>ゲンブツ</t>
    </rPh>
    <rPh sb="2" eb="4">
      <t>ゴウケイ</t>
    </rPh>
    <phoneticPr fontId="4"/>
  </si>
  <si>
    <t>発注関数結果</t>
    <rPh sb="0" eb="2">
      <t>ハッチュウ</t>
    </rPh>
    <rPh sb="2" eb="4">
      <t>カンスウ</t>
    </rPh>
    <rPh sb="4" eb="6">
      <t>ケッカ</t>
    </rPh>
    <phoneticPr fontId="4"/>
  </si>
  <si>
    <t>発注関数</t>
    <rPh sb="0" eb="4">
      <t>ハッチュウカンスウ</t>
    </rPh>
    <phoneticPr fontId="4"/>
  </si>
  <si>
    <t>概算約定代金</t>
    <rPh sb="0" eb="2">
      <t>ガイサン</t>
    </rPh>
    <rPh sb="2" eb="6">
      <t>ヤクジョウダイキン</t>
    </rPh>
    <phoneticPr fontId="4"/>
  </si>
  <si>
    <t>注文価格</t>
    <rPh sb="2" eb="4">
      <t>カカク</t>
    </rPh>
    <phoneticPr fontId="2"/>
  </si>
  <si>
    <t>注文数量</t>
  </si>
  <si>
    <t>銘柄名</t>
    <rPh sb="0" eb="3">
      <t>メイガラメイ</t>
    </rPh>
    <phoneticPr fontId="4"/>
  </si>
  <si>
    <t>発注ID</t>
    <rPh sb="0" eb="2">
      <t>ハッチュウ</t>
    </rPh>
    <phoneticPr fontId="2"/>
  </si>
  <si>
    <t>現物/信用</t>
    <rPh sb="0" eb="2">
      <t>ゲンブツ</t>
    </rPh>
    <rPh sb="3" eb="5">
      <t>シンヨウ</t>
    </rPh>
    <phoneticPr fontId="2"/>
  </si>
  <si>
    <t>＜発注関数＞</t>
    <rPh sb="1" eb="3">
      <t>ハッチュウ</t>
    </rPh>
    <rPh sb="3" eb="5">
      <t>カンスウ</t>
    </rPh>
    <phoneticPr fontId="4"/>
  </si>
  <si>
    <t>＜発注内容-概算約定代金＞</t>
    <rPh sb="1" eb="3">
      <t>ハッチュウ</t>
    </rPh>
    <rPh sb="3" eb="5">
      <t>ナイヨウ</t>
    </rPh>
    <rPh sb="6" eb="8">
      <t>ガイサン</t>
    </rPh>
    <rPh sb="8" eb="12">
      <t>ヤクジョウダイキン</t>
    </rPh>
    <phoneticPr fontId="4"/>
  </si>
  <si>
    <t>セット注文期限</t>
    <rPh sb="3" eb="5">
      <t>チュウモン</t>
    </rPh>
    <rPh sb="5" eb="7">
      <t>キゲン</t>
    </rPh>
    <phoneticPr fontId="2"/>
  </si>
  <si>
    <t>セット注文執行条件</t>
    <rPh sb="3" eb="5">
      <t>チュウモン</t>
    </rPh>
    <rPh sb="5" eb="7">
      <t>シッコウ</t>
    </rPh>
    <rPh sb="7" eb="9">
      <t>ジョウケン</t>
    </rPh>
    <phoneticPr fontId="2"/>
  </si>
  <si>
    <t>セット注文価格</t>
    <rPh sb="3" eb="5">
      <t>チュウモン</t>
    </rPh>
    <rPh sb="5" eb="7">
      <t>カカク</t>
    </rPh>
    <phoneticPr fontId="2"/>
  </si>
  <si>
    <t>セット注文価格区分</t>
    <rPh sb="3" eb="5">
      <t>チュウモン</t>
    </rPh>
    <rPh sb="5" eb="7">
      <t>カカク</t>
    </rPh>
    <rPh sb="7" eb="9">
      <t>クブン</t>
    </rPh>
    <phoneticPr fontId="2"/>
  </si>
  <si>
    <t>セット注文区分</t>
    <rPh sb="3" eb="5">
      <t>チュウモン</t>
    </rPh>
    <rPh sb="5" eb="7">
      <t>クブン</t>
    </rPh>
    <phoneticPr fontId="2"/>
  </si>
  <si>
    <t>逆指値価格</t>
    <rPh sb="0" eb="1">
      <t>ギャク</t>
    </rPh>
    <rPh sb="1" eb="3">
      <t>サシネ</t>
    </rPh>
    <rPh sb="3" eb="5">
      <t>カカク</t>
    </rPh>
    <phoneticPr fontId="2"/>
  </si>
  <si>
    <t>逆指値価格区分</t>
    <rPh sb="0" eb="1">
      <t>ギャク</t>
    </rPh>
    <rPh sb="1" eb="3">
      <t>サシネ</t>
    </rPh>
    <rPh sb="3" eb="5">
      <t>カカク</t>
    </rPh>
    <rPh sb="5" eb="7">
      <t>クブン</t>
    </rPh>
    <phoneticPr fontId="2"/>
  </si>
  <si>
    <t>逆指値条件区分</t>
    <rPh sb="0" eb="1">
      <t>ギャク</t>
    </rPh>
    <rPh sb="1" eb="3">
      <t>サシネ</t>
    </rPh>
    <rPh sb="3" eb="5">
      <t>ジョウケン</t>
    </rPh>
    <rPh sb="5" eb="7">
      <t>クブン</t>
    </rPh>
    <phoneticPr fontId="2"/>
  </si>
  <si>
    <t>逆指値条件価格</t>
    <rPh sb="0" eb="1">
      <t>ギャク</t>
    </rPh>
    <rPh sb="1" eb="3">
      <t>サシネ</t>
    </rPh>
    <rPh sb="3" eb="5">
      <t>ジョウケン</t>
    </rPh>
    <rPh sb="5" eb="7">
      <t>カカク</t>
    </rPh>
    <phoneticPr fontId="2"/>
  </si>
  <si>
    <t>口座区分</t>
  </si>
  <si>
    <t>注文期限</t>
    <rPh sb="0" eb="2">
      <t>チュウモン</t>
    </rPh>
    <rPh sb="2" eb="4">
      <t>キゲン</t>
    </rPh>
    <phoneticPr fontId="2"/>
  </si>
  <si>
    <t>執行条件</t>
    <rPh sb="0" eb="2">
      <t>シッコウ</t>
    </rPh>
    <rPh sb="2" eb="4">
      <t>ジョウケン</t>
    </rPh>
    <phoneticPr fontId="2"/>
  </si>
  <si>
    <t>価格区分</t>
    <rPh sb="0" eb="2">
      <t>カカク</t>
    </rPh>
    <rPh sb="2" eb="4">
      <t>クブン</t>
    </rPh>
    <phoneticPr fontId="2"/>
  </si>
  <si>
    <t>信用区分</t>
    <rPh sb="0" eb="2">
      <t>シンヨウ</t>
    </rPh>
    <rPh sb="2" eb="4">
      <t>クブン</t>
    </rPh>
    <phoneticPr fontId="7"/>
  </si>
  <si>
    <t>SOR区分</t>
    <rPh sb="3" eb="5">
      <t>クブン</t>
    </rPh>
    <phoneticPr fontId="2"/>
  </si>
  <si>
    <t>注文区分</t>
    <rPh sb="0" eb="2">
      <t>チュウモン</t>
    </rPh>
    <rPh sb="2" eb="4">
      <t>クブン</t>
    </rPh>
    <phoneticPr fontId="7"/>
  </si>
  <si>
    <t>売買区分</t>
    <rPh sb="0" eb="2">
      <t>バイバイ</t>
    </rPh>
    <rPh sb="2" eb="4">
      <t>クブン</t>
    </rPh>
    <phoneticPr fontId="7"/>
  </si>
  <si>
    <t>銘柄コード</t>
  </si>
  <si>
    <t>発注トリガー</t>
    <rPh sb="0" eb="2">
      <t>ハッチュウ</t>
    </rPh>
    <phoneticPr fontId="7"/>
  </si>
  <si>
    <t>発注ID</t>
    <rPh sb="0" eb="2">
      <t>ハッチュウ</t>
    </rPh>
    <phoneticPr fontId="7"/>
  </si>
  <si>
    <t>注文種類</t>
    <rPh sb="0" eb="2">
      <t>チュウモン</t>
    </rPh>
    <rPh sb="2" eb="4">
      <t>シュルイ</t>
    </rPh>
    <phoneticPr fontId="2"/>
  </si>
  <si>
    <t>＜発注条件＞</t>
    <rPh sb="1" eb="5">
      <t>ハッチュウジョウケン</t>
    </rPh>
    <phoneticPr fontId="4"/>
  </si>
  <si>
    <t>信用口座_保証金率(新規建)</t>
    <phoneticPr fontId="4"/>
  </si>
  <si>
    <t>信用口座_信用新規建余力</t>
    <phoneticPr fontId="4"/>
  </si>
  <si>
    <t>信用口座_保証金余裕額</t>
    <phoneticPr fontId="4"/>
  </si>
  <si>
    <t>現物買付可能額</t>
    <phoneticPr fontId="4"/>
  </si>
  <si>
    <t>発注トリガー</t>
    <rPh sb="0" eb="2">
      <t>ハッチュウ</t>
    </rPh>
    <phoneticPr fontId="1"/>
  </si>
  <si>
    <t>発注トリガー</t>
    <rPh sb="0" eb="2">
      <t>ハッチュウ</t>
    </rPh>
    <phoneticPr fontId="4"/>
  </si>
  <si>
    <t>➂　発注ボタンをクリック、発注トリガーが1:発注となり、注文が発注されます</t>
    <rPh sb="2" eb="4">
      <t>ハッチュウ</t>
    </rPh>
    <rPh sb="13" eb="15">
      <t>ハッチュウ</t>
    </rPh>
    <rPh sb="22" eb="24">
      <t>ハッチュウ</t>
    </rPh>
    <rPh sb="28" eb="30">
      <t>チュウモン</t>
    </rPh>
    <rPh sb="31" eb="33">
      <t>ハッチュウ</t>
    </rPh>
    <phoneticPr fontId="4"/>
  </si>
  <si>
    <t>②　発注条件を入力（入力内容はセルのコメントを参照）。＜発注内容-概算約定代金＞が表示されます。</t>
    <rPh sb="28" eb="30">
      <t>ハッチュウ</t>
    </rPh>
    <rPh sb="30" eb="32">
      <t>ナイヨウ</t>
    </rPh>
    <rPh sb="33" eb="35">
      <t>ガイサン</t>
    </rPh>
    <rPh sb="35" eb="37">
      <t>ヤクジョウ</t>
    </rPh>
    <rPh sb="37" eb="39">
      <t>ダイキン</t>
    </rPh>
    <rPh sb="41" eb="43">
      <t>ヒョウジ</t>
    </rPh>
    <phoneticPr fontId="4"/>
  </si>
  <si>
    <t>①　発注IDセットボタンをクリック、発注トリガーが0:待機中となり、新規発注IDがセットされます。</t>
  </si>
  <si>
    <t>一括発注　国内株</t>
    <rPh sb="0" eb="4">
      <t>イッカツハッチュウ</t>
    </rPh>
    <rPh sb="5" eb="8">
      <t>コクナイカブ</t>
    </rPh>
    <phoneticPr fontId="4"/>
  </si>
  <si>
    <t>合計</t>
    <rPh sb="0" eb="2">
      <t>ゴウケイ</t>
    </rPh>
    <phoneticPr fontId="4"/>
  </si>
  <si>
    <t>行使価格</t>
    <rPh sb="0" eb="2">
      <t>コウシ</t>
    </rPh>
    <rPh sb="2" eb="4">
      <t>カカク</t>
    </rPh>
    <phoneticPr fontId="12"/>
  </si>
  <si>
    <t>限月</t>
    <rPh sb="0" eb="2">
      <t>ゲンゲツ</t>
    </rPh>
    <phoneticPr fontId="12"/>
  </si>
  <si>
    <t>銘柄種類</t>
    <rPh sb="0" eb="2">
      <t>メイガラ</t>
    </rPh>
    <rPh sb="2" eb="4">
      <t>シュルイ</t>
    </rPh>
    <phoneticPr fontId="12"/>
  </si>
  <si>
    <t>注文区分</t>
    <rPh sb="0" eb="2">
      <t>チュウモン</t>
    </rPh>
    <rPh sb="2" eb="4">
      <t>クブン</t>
    </rPh>
    <phoneticPr fontId="2"/>
  </si>
  <si>
    <t>売買区分</t>
  </si>
  <si>
    <t>C/P</t>
    <phoneticPr fontId="12"/>
  </si>
  <si>
    <t>発注トリガー</t>
    <rPh sb="0" eb="2">
      <t>ハッチュウ</t>
    </rPh>
    <phoneticPr fontId="2"/>
  </si>
  <si>
    <t>--------</t>
    <phoneticPr fontId="4"/>
  </si>
  <si>
    <t>一括発注　先物OP</t>
    <rPh sb="0" eb="4">
      <t>イッカツハッチュウ</t>
    </rPh>
    <rPh sb="5" eb="7">
      <t>サキモノ</t>
    </rPh>
    <phoneticPr fontId="4"/>
  </si>
  <si>
    <t>移動平均2</t>
    <rPh sb="0" eb="2">
      <t>イドウ</t>
    </rPh>
    <rPh sb="2" eb="4">
      <t>ヘイキン</t>
    </rPh>
    <phoneticPr fontId="1"/>
  </si>
  <si>
    <t>移動平均1</t>
    <rPh sb="0" eb="2">
      <t>イドウ</t>
    </rPh>
    <rPh sb="2" eb="4">
      <t>ヘイキン</t>
    </rPh>
    <phoneticPr fontId="1"/>
  </si>
  <si>
    <t>終値</t>
  </si>
  <si>
    <t>安値</t>
  </si>
  <si>
    <t>高値</t>
  </si>
  <si>
    <t>始値</t>
  </si>
  <si>
    <t>出来高</t>
  </si>
  <si>
    <t>足種</t>
    <rPh sb="0" eb="2">
      <t>アシシュ</t>
    </rPh>
    <phoneticPr fontId="4"/>
  </si>
  <si>
    <t>市場名称</t>
    <rPh sb="0" eb="4">
      <t>シジョウメイショウ</t>
    </rPh>
    <phoneticPr fontId="4"/>
  </si>
  <si>
    <t>銘柄名称</t>
    <rPh sb="0" eb="4">
      <t>メイガラメイショウ</t>
    </rPh>
    <phoneticPr fontId="4"/>
  </si>
  <si>
    <t>セット注文執行条件が「5：期間指定」の場合、必須　</t>
    <rPh sb="3" eb="5">
      <t>チュウモン</t>
    </rPh>
    <rPh sb="5" eb="7">
      <t>シッコウ</t>
    </rPh>
    <rPh sb="7" eb="9">
      <t>ジョウケン</t>
    </rPh>
    <rPh sb="13" eb="17">
      <t>キカンシテイ</t>
    </rPh>
    <rPh sb="19" eb="21">
      <t>バアイ</t>
    </rPh>
    <rPh sb="22" eb="24">
      <t>ヒッス</t>
    </rPh>
    <phoneticPr fontId="4"/>
  </si>
  <si>
    <t>ー</t>
    <phoneticPr fontId="4"/>
  </si>
  <si>
    <t>セット注文期限</t>
    <rPh sb="3" eb="5">
      <t>チュウモン</t>
    </rPh>
    <rPh sb="5" eb="7">
      <t>キゲン</t>
    </rPh>
    <phoneticPr fontId="1"/>
  </si>
  <si>
    <t>セット注文執行条件</t>
    <rPh sb="3" eb="5">
      <t>チュウモン</t>
    </rPh>
    <rPh sb="5" eb="7">
      <t>シッコウ</t>
    </rPh>
    <rPh sb="7" eb="9">
      <t>ジョウケン</t>
    </rPh>
    <phoneticPr fontId="1"/>
  </si>
  <si>
    <t>セット注文価格を入力。(セット注文区分が「1：セット注文(予約する)」の場合、必須。)</t>
    <rPh sb="3" eb="5">
      <t>チュウモン</t>
    </rPh>
    <rPh sb="5" eb="7">
      <t>カカク</t>
    </rPh>
    <rPh sb="8" eb="10">
      <t>ニュウリョク</t>
    </rPh>
    <rPh sb="29" eb="31">
      <t>ヨヤク</t>
    </rPh>
    <phoneticPr fontId="4"/>
  </si>
  <si>
    <t>セット注文価格</t>
    <rPh sb="3" eb="5">
      <t>チュウモン</t>
    </rPh>
    <rPh sb="5" eb="7">
      <t>カカク</t>
    </rPh>
    <phoneticPr fontId="1"/>
  </si>
  <si>
    <t>0：予約しない、1：予約する　(省略時、予約しない)</t>
    <rPh sb="2" eb="4">
      <t>ヨヤク</t>
    </rPh>
    <rPh sb="10" eb="12">
      <t>ヨヤク</t>
    </rPh>
    <rPh sb="16" eb="19">
      <t>ショウリャクジ</t>
    </rPh>
    <rPh sb="20" eb="22">
      <t>ヨヤク</t>
    </rPh>
    <phoneticPr fontId="4"/>
  </si>
  <si>
    <t>セット注文区分</t>
    <rPh sb="3" eb="5">
      <t>チュウモン</t>
    </rPh>
    <rPh sb="5" eb="7">
      <t>クブン</t>
    </rPh>
    <phoneticPr fontId="1"/>
  </si>
  <si>
    <t>逆指値価格を入力。成行の場合は省略。　(注文区分が「1：逆指値付通常注文」 or 「2：逆指値注文」の場合、必須。)</t>
    <rPh sb="0" eb="3">
      <t>ギャクサシネ</t>
    </rPh>
    <rPh sb="3" eb="5">
      <t>カカク</t>
    </rPh>
    <phoneticPr fontId="4"/>
  </si>
  <si>
    <t>ー</t>
    <phoneticPr fontId="4"/>
  </si>
  <si>
    <t>逆指値価格</t>
    <rPh sb="0" eb="1">
      <t>ギャク</t>
    </rPh>
    <rPh sb="1" eb="3">
      <t>サシネ</t>
    </rPh>
    <rPh sb="3" eb="5">
      <t>カカク</t>
    </rPh>
    <phoneticPr fontId="1"/>
  </si>
  <si>
    <r>
      <rPr>
        <sz val="10"/>
        <rFont val="Meiryo UI"/>
        <family val="3"/>
        <charset val="128"/>
      </rPr>
      <t>０：成行、1：指値</t>
    </r>
    <r>
      <rPr>
        <sz val="10"/>
        <color theme="1"/>
        <rFont val="Meiryo UI"/>
        <family val="3"/>
        <charset val="128"/>
      </rPr>
      <t>(注文区分が「1：逆指値付通常注文」 or 「2：逆指値注文」の場合、必須。)</t>
    </r>
    <phoneticPr fontId="4"/>
  </si>
  <si>
    <t>逆指値価格区分</t>
    <rPh sb="0" eb="1">
      <t>ギャク</t>
    </rPh>
    <rPh sb="1" eb="3">
      <t>サシネ</t>
    </rPh>
    <rPh sb="3" eb="5">
      <t>カカク</t>
    </rPh>
    <rPh sb="5" eb="7">
      <t>クブン</t>
    </rPh>
    <phoneticPr fontId="1"/>
  </si>
  <si>
    <t>1：以上、2：以下　　(注文区分が「1：逆指値付通常注文」 or 「2：逆指値注文」の場合、必須。)</t>
    <phoneticPr fontId="4"/>
  </si>
  <si>
    <t>逆指値条件区分</t>
    <rPh sb="0" eb="1">
      <t>ギャク</t>
    </rPh>
    <rPh sb="1" eb="3">
      <t>サシネ</t>
    </rPh>
    <rPh sb="3" eb="5">
      <t>ジョウケン</t>
    </rPh>
    <rPh sb="5" eb="7">
      <t>クブン</t>
    </rPh>
    <phoneticPr fontId="1"/>
  </si>
  <si>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</si>
  <si>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逆指値条件価格</t>
    <rPh sb="0" eb="1">
      <t>ギャク</t>
    </rPh>
    <rPh sb="1" eb="3">
      <t>サシネ</t>
    </rPh>
    <rPh sb="3" eb="5">
      <t>ジョウケン</t>
    </rPh>
    <rPh sb="5" eb="7">
      <t>カカク</t>
    </rPh>
    <phoneticPr fontId="1"/>
  </si>
  <si>
    <t>執行条件が「5：期間指定」の場合、必須。 入力型式：YYYYMMDD</t>
    <rPh sb="0" eb="2">
      <t>シッコウ</t>
    </rPh>
    <rPh sb="2" eb="4">
      <t>ジョウケン</t>
    </rPh>
    <rPh sb="8" eb="12">
      <t>キカンシテイ</t>
    </rPh>
    <rPh sb="14" eb="16">
      <t>バアイ</t>
    </rPh>
    <rPh sb="17" eb="19">
      <t>ヒッス</t>
    </rPh>
    <rPh sb="21" eb="25">
      <t>ニュウリョクケイシキ</t>
    </rPh>
    <phoneticPr fontId="4"/>
  </si>
  <si>
    <t>注文期限</t>
    <rPh sb="0" eb="2">
      <t>チュウモン</t>
    </rPh>
    <rPh sb="2" eb="4">
      <t>キゲン</t>
    </rPh>
    <phoneticPr fontId="1"/>
  </si>
  <si>
    <t>執行条件</t>
    <rPh sb="0" eb="2">
      <t>シッコウ</t>
    </rPh>
    <rPh sb="2" eb="4">
      <t>ジョウケン</t>
    </rPh>
    <phoneticPr fontId="1"/>
  </si>
  <si>
    <t>注文価格を入力。成行の場合は省略。(注文区分が「0：通常注文」 or 「1：逆指値付通常注文」 の場合、必須。)</t>
    <rPh sb="0" eb="4">
      <t>チュウモンカカク</t>
    </rPh>
    <rPh sb="5" eb="7">
      <t>ニュウリョク</t>
    </rPh>
    <rPh sb="8" eb="10">
      <t>ナリユキ</t>
    </rPh>
    <rPh sb="11" eb="13">
      <t>バアイ</t>
    </rPh>
    <rPh sb="14" eb="16">
      <t>ショウリャク</t>
    </rPh>
    <phoneticPr fontId="4"/>
  </si>
  <si>
    <t>注文価格</t>
    <rPh sb="2" eb="4">
      <t>カカク</t>
    </rPh>
    <phoneticPr fontId="1"/>
  </si>
  <si>
    <t>価格区分</t>
    <rPh sb="0" eb="2">
      <t>カカク</t>
    </rPh>
    <rPh sb="2" eb="4">
      <t>クブン</t>
    </rPh>
    <phoneticPr fontId="1"/>
  </si>
  <si>
    <t>注文数量を入力</t>
    <rPh sb="0" eb="4">
      <t>チュウモンスウリョウ</t>
    </rPh>
    <rPh sb="5" eb="7">
      <t>ニュウリョク</t>
    </rPh>
    <phoneticPr fontId="4"/>
  </si>
  <si>
    <t>0：通常注文、1：SOR注文</t>
    <phoneticPr fontId="4"/>
  </si>
  <si>
    <t>SOR区分</t>
    <rPh sb="3" eb="5">
      <t>クブン</t>
    </rPh>
    <phoneticPr fontId="1"/>
  </si>
  <si>
    <t>0：通常注文、1：逆指値付通常注文、2：逆指値注文　(省略時、通常注文)</t>
    <rPh sb="13" eb="15">
      <t>ツウジョウ</t>
    </rPh>
    <rPh sb="27" eb="30">
      <t>ショウリャクジ</t>
    </rPh>
    <rPh sb="31" eb="33">
      <t>ツウジョウ</t>
    </rPh>
    <rPh sb="33" eb="35">
      <t>チュウモン</t>
    </rPh>
    <phoneticPr fontId="4"/>
  </si>
  <si>
    <t>注文区分</t>
    <rPh sb="0" eb="2">
      <t>チュウモン</t>
    </rPh>
    <rPh sb="2" eb="4">
      <t>クブン</t>
    </rPh>
    <phoneticPr fontId="1"/>
  </si>
  <si>
    <t>1：売り、3：買い</t>
    <rPh sb="2" eb="3">
      <t>ウ</t>
    </rPh>
    <rPh sb="7" eb="8">
      <t>カ</t>
    </rPh>
    <phoneticPr fontId="4"/>
  </si>
  <si>
    <t>0：現物、1：信用</t>
    <rPh sb="2" eb="4">
      <t>ゲンブツ</t>
    </rPh>
    <rPh sb="7" eb="9">
      <t>シンヨウ</t>
    </rPh>
    <phoneticPr fontId="4"/>
  </si>
  <si>
    <t>注文（現物/信用）</t>
    <rPh sb="0" eb="2">
      <t>チュウモン</t>
    </rPh>
    <rPh sb="3" eb="5">
      <t>ゲンブツ</t>
    </rPh>
    <rPh sb="6" eb="8">
      <t>シンヨウ</t>
    </rPh>
    <phoneticPr fontId="4"/>
  </si>
  <si>
    <t>入力説明</t>
    <rPh sb="0" eb="2">
      <t>ニュウリョク</t>
    </rPh>
    <rPh sb="2" eb="4">
      <t>セツメイ</t>
    </rPh>
    <phoneticPr fontId="4"/>
  </si>
  <si>
    <t>設定内容</t>
    <rPh sb="0" eb="2">
      <t>セッテイ</t>
    </rPh>
    <rPh sb="2" eb="4">
      <t>ナイヨウ</t>
    </rPh>
    <phoneticPr fontId="4"/>
  </si>
  <si>
    <t>入力欄</t>
    <rPh sb="0" eb="3">
      <t>ニュウリョクラン</t>
    </rPh>
    <phoneticPr fontId="4"/>
  </si>
  <si>
    <t>引数名</t>
    <rPh sb="0" eb="3">
      <t>ヒキスウメイ</t>
    </rPh>
    <phoneticPr fontId="4"/>
  </si>
  <si>
    <t>「銘柄コード.市場」の形式で入力「.市場」は省略可。市況は.T：東証（省略時東証）、.JNX：JNX、.CHJ：Chi-x</t>
    <rPh sb="1" eb="3">
      <t>メイガラ</t>
    </rPh>
    <rPh sb="7" eb="9">
      <t>シジョウ</t>
    </rPh>
    <rPh sb="11" eb="13">
      <t>ケイシキ</t>
    </rPh>
    <rPh sb="14" eb="16">
      <t>ニュウリョク</t>
    </rPh>
    <rPh sb="17" eb="20">
      <t>｡シジョウ</t>
    </rPh>
    <rPh sb="22" eb="25">
      <t>ショウリャクカ</t>
    </rPh>
    <rPh sb="26" eb="28">
      <t>シキョウ</t>
    </rPh>
    <rPh sb="32" eb="34">
      <t>トウショウ</t>
    </rPh>
    <rPh sb="35" eb="38">
      <t>ショウリャクジ</t>
    </rPh>
    <rPh sb="38" eb="40">
      <t>トウショウ</t>
    </rPh>
    <phoneticPr fontId="4"/>
  </si>
  <si>
    <r>
      <t>Excelから注文を一意に識別するための番号（1以上の数値で入力）</t>
    </r>
    <r>
      <rPr>
        <b/>
        <sz val="10"/>
        <color rgb="FFFF0000"/>
        <rFont val="Meiryo UI"/>
        <family val="3"/>
        <charset val="128"/>
      </rPr>
      <t/>
    </r>
    <rPh sb="7" eb="9">
      <t>チュウモン</t>
    </rPh>
    <rPh sb="10" eb="12">
      <t>イチイ</t>
    </rPh>
    <rPh sb="13" eb="15">
      <t>シキベツ</t>
    </rPh>
    <rPh sb="20" eb="22">
      <t>バンゴウ</t>
    </rPh>
    <rPh sb="24" eb="26">
      <t>イジョウ</t>
    </rPh>
    <rPh sb="27" eb="29">
      <t>スウチ</t>
    </rPh>
    <rPh sb="30" eb="32">
      <t>ニュウリョク</t>
    </rPh>
    <phoneticPr fontId="4"/>
  </si>
  <si>
    <t>発注ID</t>
    <rPh sb="0" eb="2">
      <t>ハッチュウ</t>
    </rPh>
    <phoneticPr fontId="1"/>
  </si>
  <si>
    <t>引数説明</t>
    <rPh sb="0" eb="2">
      <t>ヒキスウ</t>
    </rPh>
    <rPh sb="2" eb="4">
      <t>セツメイ</t>
    </rPh>
    <phoneticPr fontId="4"/>
  </si>
  <si>
    <t>設定値</t>
    <rPh sb="0" eb="3">
      <t>セッテイチ</t>
    </rPh>
    <phoneticPr fontId="4"/>
  </si>
  <si>
    <t>注文関数</t>
    <rPh sb="0" eb="4">
      <t>チュウモンカンスウ</t>
    </rPh>
    <phoneticPr fontId="4"/>
  </si>
  <si>
    <t>移動平均2（長期）</t>
    <rPh sb="6" eb="8">
      <t>チョウキ</t>
    </rPh>
    <phoneticPr fontId="4"/>
  </si>
  <si>
    <t>移動平均1(短期)</t>
    <rPh sb="0" eb="4">
      <t>イドウヘイキン</t>
    </rPh>
    <rPh sb="6" eb="8">
      <t>タンキ</t>
    </rPh>
    <phoneticPr fontId="4"/>
  </si>
  <si>
    <t>表示本数</t>
    <rPh sb="0" eb="2">
      <t>ヒョウジ</t>
    </rPh>
    <rPh sb="2" eb="4">
      <t>ホンスウ</t>
    </rPh>
    <phoneticPr fontId="4"/>
  </si>
  <si>
    <t>0:OFF, 1:ON</t>
    <phoneticPr fontId="4"/>
  </si>
  <si>
    <t>移動平均の期間指定</t>
    <rPh sb="0" eb="4">
      <t>イドウヘイキン</t>
    </rPh>
    <rPh sb="5" eb="9">
      <t>キカンシテイ</t>
    </rPh>
    <phoneticPr fontId="4"/>
  </si>
  <si>
    <t>トリガー発注監視</t>
    <rPh sb="4" eb="6">
      <t>ハッチュウ</t>
    </rPh>
    <rPh sb="6" eb="8">
      <t>カンシ</t>
    </rPh>
    <phoneticPr fontId="4"/>
  </si>
  <si>
    <t>＜チャート設定＞</t>
    <rPh sb="5" eb="7">
      <t>セッテイ</t>
    </rPh>
    <phoneticPr fontId="4"/>
  </si>
  <si>
    <t>安値（時刻）</t>
    <rPh sb="0" eb="2">
      <t>ヤスネ</t>
    </rPh>
    <phoneticPr fontId="4"/>
  </si>
  <si>
    <t>出来高</t>
    <rPh sb="0" eb="3">
      <t>デキダカ</t>
    </rPh>
    <phoneticPr fontId="4"/>
  </si>
  <si>
    <t>高値（時刻）</t>
    <rPh sb="0" eb="2">
      <t>タカネ</t>
    </rPh>
    <phoneticPr fontId="4"/>
  </si>
  <si>
    <t>②　価格差</t>
    <rPh sb="2" eb="5">
      <t>カカクサ</t>
    </rPh>
    <phoneticPr fontId="4"/>
  </si>
  <si>
    <t>PER</t>
    <phoneticPr fontId="4"/>
  </si>
  <si>
    <t>前日日付</t>
    <rPh sb="0" eb="2">
      <t>ゼンジツ</t>
    </rPh>
    <rPh sb="2" eb="4">
      <t>ヒヅケ</t>
    </rPh>
    <phoneticPr fontId="4"/>
  </si>
  <si>
    <t>始値（時刻）</t>
    <rPh sb="0" eb="2">
      <t>ハジメネ</t>
    </rPh>
    <phoneticPr fontId="4"/>
  </si>
  <si>
    <t>（ 1：上昇狙い, 2：下降狙い）</t>
    <rPh sb="4" eb="6">
      <t>ジョウショウ</t>
    </rPh>
    <rPh sb="6" eb="7">
      <t>ネラ</t>
    </rPh>
    <rPh sb="12" eb="14">
      <t>カコウ</t>
    </rPh>
    <rPh sb="14" eb="15">
      <t>ネラ</t>
    </rPh>
    <phoneticPr fontId="4"/>
  </si>
  <si>
    <t>①　狙い</t>
    <rPh sb="2" eb="3">
      <t>ネラ</t>
    </rPh>
    <phoneticPr fontId="4"/>
  </si>
  <si>
    <t>銘柄コード</t>
    <rPh sb="0" eb="2">
      <t>メイガラ</t>
    </rPh>
    <phoneticPr fontId="4"/>
  </si>
  <si>
    <t>PBR</t>
    <phoneticPr fontId="4"/>
  </si>
  <si>
    <t>前日終値</t>
    <rPh sb="0" eb="4">
      <t>ゼンジツオワリネ</t>
    </rPh>
    <phoneticPr fontId="4"/>
  </si>
  <si>
    <t>最良買気配値（時刻）</t>
    <phoneticPr fontId="4"/>
  </si>
  <si>
    <t>トリガー条件</t>
    <rPh sb="4" eb="6">
      <t>ジョウケン</t>
    </rPh>
    <phoneticPr fontId="4"/>
  </si>
  <si>
    <t>前日比率</t>
    <rPh sb="0" eb="3">
      <t>ゼンジツヒ</t>
    </rPh>
    <rPh sb="3" eb="4">
      <t>リツ</t>
    </rPh>
    <phoneticPr fontId="4"/>
  </si>
  <si>
    <t>最良売気配値（時刻）</t>
    <phoneticPr fontId="4"/>
  </si>
  <si>
    <t>VWAP</t>
    <phoneticPr fontId="4"/>
  </si>
  <si>
    <t>前日比</t>
    <rPh sb="0" eb="3">
      <t>ゼンジツヒ</t>
    </rPh>
    <phoneticPr fontId="4"/>
  </si>
  <si>
    <t>現在値（時刻）</t>
    <rPh sb="0" eb="3">
      <t>ゲンザイネ</t>
    </rPh>
    <rPh sb="4" eb="6">
      <t>ジコク</t>
    </rPh>
    <phoneticPr fontId="4"/>
  </si>
  <si>
    <t>最新値</t>
    <rPh sb="0" eb="2">
      <t>サイシン</t>
    </rPh>
    <rPh sb="2" eb="3">
      <t>アタイ</t>
    </rPh>
    <phoneticPr fontId="4"/>
  </si>
  <si>
    <t>価格差（1-2）</t>
    <rPh sb="0" eb="3">
      <t>カカクサ</t>
    </rPh>
    <phoneticPr fontId="4"/>
  </si>
  <si>
    <t>移動平均2</t>
    <rPh sb="0" eb="2">
      <t>イドウ</t>
    </rPh>
    <phoneticPr fontId="4"/>
  </si>
  <si>
    <t>移動平均1</t>
    <rPh sb="0" eb="4">
      <t>イドウヘイキン</t>
    </rPh>
    <phoneticPr fontId="4"/>
  </si>
  <si>
    <t>銘柄情報</t>
    <rPh sb="0" eb="4">
      <t>メイガラジョウホウ</t>
    </rPh>
    <phoneticPr fontId="4"/>
  </si>
  <si>
    <t>信用貸借</t>
    <rPh sb="0" eb="2">
      <t>シンヨウ</t>
    </rPh>
    <rPh sb="2" eb="4">
      <t>タイシャク</t>
    </rPh>
    <phoneticPr fontId="4"/>
  </si>
  <si>
    <t>市場</t>
    <rPh sb="0" eb="2">
      <t>シジョウ</t>
    </rPh>
    <phoneticPr fontId="4"/>
  </si>
  <si>
    <t>⑥　トリガー監視開始ボタンをクリック。自動発注を1:ONに変更、発注トリガーが0:待機中となったことを確認。　※条件に合致した場合発注されます</t>
    <rPh sb="6" eb="8">
      <t>カンシ</t>
    </rPh>
    <rPh sb="8" eb="10">
      <t>カイシ</t>
    </rPh>
    <rPh sb="56" eb="58">
      <t>ジョウケン</t>
    </rPh>
    <rPh sb="59" eb="61">
      <t>ガッチ</t>
    </rPh>
    <rPh sb="63" eb="65">
      <t>バアイ</t>
    </rPh>
    <rPh sb="65" eb="67">
      <t>ハッチュウ</t>
    </rPh>
    <phoneticPr fontId="4"/>
  </si>
  <si>
    <t>⑤　トリガー条件を入力。</t>
    <rPh sb="6" eb="8">
      <t>ジョウケン</t>
    </rPh>
    <rPh sb="9" eb="11">
      <t>ニュウリョク</t>
    </rPh>
    <phoneticPr fontId="4"/>
  </si>
  <si>
    <t>信用口座_保証金率(新規建)</t>
    <phoneticPr fontId="4"/>
  </si>
  <si>
    <t>信用口座_信用新規建余力</t>
    <phoneticPr fontId="4"/>
  </si>
  <si>
    <t>信用口座_保証金余裕額</t>
    <phoneticPr fontId="4"/>
  </si>
  <si>
    <t>現物買付可能額</t>
    <phoneticPr fontId="4"/>
  </si>
  <si>
    <t>④　注文種類を現物/信用から選択、注文条件を入力。</t>
    <rPh sb="2" eb="4">
      <t>チュウモン</t>
    </rPh>
    <rPh sb="4" eb="6">
      <t>シュルイ</t>
    </rPh>
    <rPh sb="7" eb="9">
      <t>ゲンブツ</t>
    </rPh>
    <rPh sb="10" eb="12">
      <t>シンヨウ</t>
    </rPh>
    <rPh sb="14" eb="16">
      <t>センタク</t>
    </rPh>
    <rPh sb="17" eb="19">
      <t>チュウモン</t>
    </rPh>
    <rPh sb="19" eb="21">
      <t>ジョウケン</t>
    </rPh>
    <rPh sb="22" eb="24">
      <t>ニュウリョク</t>
    </rPh>
    <phoneticPr fontId="4"/>
  </si>
  <si>
    <t>➂　発注IDセットボタンをクリック。（自動発注監視 0:OFFに変更・発注IDの更新）</t>
    <rPh sb="2" eb="4">
      <t>ハッチュウ</t>
    </rPh>
    <rPh sb="19" eb="21">
      <t>ジドウ</t>
    </rPh>
    <rPh sb="21" eb="23">
      <t>ハッチュウ</t>
    </rPh>
    <rPh sb="23" eb="25">
      <t>カンシ</t>
    </rPh>
    <rPh sb="32" eb="34">
      <t>ヘンコウ</t>
    </rPh>
    <rPh sb="35" eb="37">
      <t>ハッチュウ</t>
    </rPh>
    <rPh sb="40" eb="42">
      <t>コウシン</t>
    </rPh>
    <phoneticPr fontId="4"/>
  </si>
  <si>
    <t>②　＜チャート設定＞足種・移動平均の期間を指定。チャート・移動平均の価格差が表示されます。</t>
    <rPh sb="7" eb="9">
      <t>セッテイ</t>
    </rPh>
    <rPh sb="10" eb="12">
      <t>アシシュ</t>
    </rPh>
    <rPh sb="13" eb="17">
      <t>イドウヘイキン</t>
    </rPh>
    <rPh sb="18" eb="20">
      <t>キカン</t>
    </rPh>
    <rPh sb="21" eb="23">
      <t>シテイ</t>
    </rPh>
    <rPh sb="29" eb="33">
      <t>イドウヘイキン</t>
    </rPh>
    <rPh sb="34" eb="37">
      <t>カカクサ</t>
    </rPh>
    <rPh sb="38" eb="40">
      <t>ヒョウジ</t>
    </rPh>
    <phoneticPr fontId="4"/>
  </si>
  <si>
    <t>①　銘柄コードを指定。銘柄情報が表示されます。</t>
    <rPh sb="2" eb="4">
      <t>メイガラ</t>
    </rPh>
    <rPh sb="8" eb="10">
      <t>シテイ</t>
    </rPh>
    <rPh sb="16" eb="18">
      <t>ヒョウジ</t>
    </rPh>
    <phoneticPr fontId="4"/>
  </si>
  <si>
    <t>移動平均の価格差によるトリガー発注（国内株）</t>
    <rPh sb="0" eb="4">
      <t>イドウヘイキン</t>
    </rPh>
    <rPh sb="5" eb="7">
      <t>カカク</t>
    </rPh>
    <rPh sb="7" eb="8">
      <t>サ</t>
    </rPh>
    <rPh sb="15" eb="17">
      <t>ハッチュウ</t>
    </rPh>
    <rPh sb="18" eb="21">
      <t>コクナイカブ</t>
    </rPh>
    <phoneticPr fontId="4"/>
  </si>
  <si>
    <t>先物OP注文</t>
    <rPh sb="0" eb="1">
      <t>サキ</t>
    </rPh>
    <rPh sb="1" eb="2">
      <t>モノ</t>
    </rPh>
    <rPh sb="4" eb="6">
      <t>チュウモン</t>
    </rPh>
    <phoneticPr fontId="4"/>
  </si>
  <si>
    <t>国内株-信用注文</t>
    <rPh sb="0" eb="3">
      <t>コクナイカブ</t>
    </rPh>
    <rPh sb="4" eb="6">
      <t>シンヨウ</t>
    </rPh>
    <rPh sb="6" eb="8">
      <t>チュウモン</t>
    </rPh>
    <phoneticPr fontId="4"/>
  </si>
  <si>
    <t>国内株-現物注文</t>
    <rPh sb="0" eb="3">
      <t>コクナイカブ</t>
    </rPh>
    <rPh sb="4" eb="8">
      <t>ゲンブツチュウモン</t>
    </rPh>
    <phoneticPr fontId="4"/>
  </si>
  <si>
    <t>・MSII-RSSの注文関数の詳細説明についてはコチラ</t>
    <rPh sb="10" eb="12">
      <t>チュウモン</t>
    </rPh>
    <rPh sb="12" eb="14">
      <t>カンスウ</t>
    </rPh>
    <rPh sb="15" eb="17">
      <t>ショウサイ</t>
    </rPh>
    <rPh sb="17" eb="19">
      <t>セツメイ</t>
    </rPh>
    <phoneticPr fontId="4"/>
  </si>
  <si>
    <t>・MSII-RSSの利用方法についてはコチラ</t>
    <rPh sb="10" eb="14">
      <t>リヨウホウホウ</t>
    </rPh>
    <phoneticPr fontId="4"/>
  </si>
  <si>
    <t>RSSの利用方法について</t>
    <rPh sb="4" eb="8">
      <t>リヨウホウホウ</t>
    </rPh>
    <phoneticPr fontId="4"/>
  </si>
  <si>
    <t>トリガー発注監視に「１」をセットし、トリガーの監視を開始します。</t>
    <rPh sb="23" eb="25">
      <t>カンシ</t>
    </rPh>
    <rPh sb="26" eb="28">
      <t>カイシ</t>
    </rPh>
    <phoneticPr fontId="4"/>
  </si>
  <si>
    <t>発注トリガーに「１」をセットし、注文が発注されます。</t>
    <rPh sb="0" eb="2">
      <t>ハッチュウ</t>
    </rPh>
    <rPh sb="16" eb="18">
      <t>チュウモン</t>
    </rPh>
    <rPh sb="19" eb="21">
      <t>ハッチュウ</t>
    </rPh>
    <phoneticPr fontId="4"/>
  </si>
  <si>
    <t>ボタンクリック時点でユニークな発注IDを注文関数の引数としてセットします。</t>
    <rPh sb="7" eb="8">
      <t>ジ</t>
    </rPh>
    <rPh sb="8" eb="9">
      <t>テン</t>
    </rPh>
    <rPh sb="15" eb="17">
      <t>ハッチュウ</t>
    </rPh>
    <rPh sb="20" eb="24">
      <t>チュウモンカンスウ</t>
    </rPh>
    <rPh sb="25" eb="27">
      <t>ヒキスウ</t>
    </rPh>
    <phoneticPr fontId="4"/>
  </si>
  <si>
    <t>発注トリガー（トリガー発注のサンプルでは、自動発注監視）に「0」をセットし、</t>
    <rPh sb="0" eb="2">
      <t>ハッチュウ</t>
    </rPh>
    <rPh sb="11" eb="13">
      <t>ハッチュウ</t>
    </rPh>
    <rPh sb="21" eb="25">
      <t>ジドウハッチュウ</t>
    </rPh>
    <rPh sb="25" eb="27">
      <t>カンシ</t>
    </rPh>
    <phoneticPr fontId="4"/>
  </si>
  <si>
    <t>注文関数の発注タイミングを管理します。発注トリガーが「0/False」の場合は発注待機、
「0/False」から「1/TRUE」に変化したときに、設定した注文条件で発注が行われます。</t>
    <rPh sb="0" eb="2">
      <t>チュウモン</t>
    </rPh>
    <rPh sb="2" eb="4">
      <t>カンスウ</t>
    </rPh>
    <rPh sb="5" eb="7">
      <t>ハッチュウ</t>
    </rPh>
    <rPh sb="13" eb="15">
      <t>カンリ</t>
    </rPh>
    <rPh sb="19" eb="21">
      <t>ハッチュウ</t>
    </rPh>
    <rPh sb="36" eb="38">
      <t>バアイ</t>
    </rPh>
    <rPh sb="39" eb="43">
      <t>ハッチュウタイキ</t>
    </rPh>
    <rPh sb="65" eb="67">
      <t>ヘンカ</t>
    </rPh>
    <rPh sb="73" eb="75">
      <t>セッテイ</t>
    </rPh>
    <rPh sb="77" eb="79">
      <t>チュウモン</t>
    </rPh>
    <rPh sb="79" eb="81">
      <t>ジョウケン</t>
    </rPh>
    <rPh sb="82" eb="84">
      <t>ハッチュウ</t>
    </rPh>
    <rPh sb="85" eb="86">
      <t>オコナ</t>
    </rPh>
    <phoneticPr fontId="4"/>
  </si>
  <si>
    <t>第2引数</t>
  </si>
  <si>
    <t>同一注文の多重発注を防止するため、ユニークな発注IDを使って注文管理をしています。
1度利用した発注IDは利用できないので、発注IDセットボタンで新しいIDをセットしてください。</t>
    <rPh sb="0" eb="4">
      <t>ドウイツチュウモン</t>
    </rPh>
    <rPh sb="5" eb="9">
      <t>タジュウハッチュウ</t>
    </rPh>
    <rPh sb="10" eb="12">
      <t>ボウシ</t>
    </rPh>
    <rPh sb="22" eb="24">
      <t>ハッチュウ</t>
    </rPh>
    <rPh sb="27" eb="28">
      <t>ツカ</t>
    </rPh>
    <rPh sb="30" eb="32">
      <t>チュウモン</t>
    </rPh>
    <rPh sb="32" eb="34">
      <t>カンリ</t>
    </rPh>
    <rPh sb="43" eb="46">
      <t>ドリヨウ</t>
    </rPh>
    <rPh sb="48" eb="50">
      <t>ハッチュウ</t>
    </rPh>
    <rPh sb="53" eb="55">
      <t>リヨウ</t>
    </rPh>
    <rPh sb="62" eb="64">
      <t>ハッチュウ</t>
    </rPh>
    <rPh sb="73" eb="74">
      <t>アタラ</t>
    </rPh>
    <phoneticPr fontId="4"/>
  </si>
  <si>
    <t>第1引数</t>
    <phoneticPr fontId="4"/>
  </si>
  <si>
    <t>説明</t>
    <rPh sb="0" eb="2">
      <t>セツメイ</t>
    </rPh>
    <phoneticPr fontId="4"/>
  </si>
  <si>
    <t>引数番号</t>
    <rPh sb="0" eb="2">
      <t>ヒキスウ</t>
    </rPh>
    <rPh sb="2" eb="4">
      <t>バンゴウ</t>
    </rPh>
    <phoneticPr fontId="4"/>
  </si>
  <si>
    <t>※現物取引・信用取引・先物OP取引の注文関数共通の引数</t>
    <rPh sb="1" eb="3">
      <t>ゲンブツ</t>
    </rPh>
    <rPh sb="3" eb="5">
      <t>トリヒキ</t>
    </rPh>
    <rPh sb="6" eb="8">
      <t>シンヨウ</t>
    </rPh>
    <rPh sb="8" eb="10">
      <t>トリヒキ</t>
    </rPh>
    <rPh sb="11" eb="13">
      <t>サキモノ</t>
    </rPh>
    <rPh sb="15" eb="17">
      <t>トリヒキ</t>
    </rPh>
    <rPh sb="18" eb="20">
      <t>チュウモン</t>
    </rPh>
    <rPh sb="20" eb="22">
      <t>カンスウ</t>
    </rPh>
    <rPh sb="22" eb="24">
      <t>キョウツウ</t>
    </rPh>
    <rPh sb="25" eb="27">
      <t>ヒキスウ</t>
    </rPh>
    <phoneticPr fontId="4"/>
  </si>
  <si>
    <t>マーケットスピード II のRSSでは注文関数を利用し、注文条件を引数として指定して注文を発注いたします。</t>
    <rPh sb="19" eb="21">
      <t>チュウモン</t>
    </rPh>
    <rPh sb="21" eb="23">
      <t>カンスウ</t>
    </rPh>
    <rPh sb="24" eb="26">
      <t>リヨウ</t>
    </rPh>
    <rPh sb="28" eb="32">
      <t>チュウモンジョウケン</t>
    </rPh>
    <rPh sb="33" eb="35">
      <t>ヒキスウ</t>
    </rPh>
    <rPh sb="38" eb="40">
      <t>シテイ</t>
    </rPh>
    <rPh sb="42" eb="44">
      <t>チュウモン</t>
    </rPh>
    <rPh sb="45" eb="47">
      <t>ハッチュウ</t>
    </rPh>
    <phoneticPr fontId="4"/>
  </si>
  <si>
    <t>サンプルシートの発注方法について</t>
    <rPh sb="8" eb="10">
      <t>ハッチュウ</t>
    </rPh>
    <rPh sb="10" eb="12">
      <t>ホウホウ</t>
    </rPh>
    <phoneticPr fontId="4"/>
  </si>
  <si>
    <t>サンプルシート利用時の注意事項</t>
    <rPh sb="7" eb="10">
      <t>リヨウジ</t>
    </rPh>
    <rPh sb="11" eb="15">
      <t>チュウイジコウ</t>
    </rPh>
    <phoneticPr fontId="4"/>
  </si>
  <si>
    <t>3.</t>
  </si>
  <si>
    <t>2.</t>
  </si>
  <si>
    <t>1.</t>
    <phoneticPr fontId="4"/>
  </si>
  <si>
    <t>目次</t>
    <rPh sb="0" eb="2">
      <t>モクジ</t>
    </rPh>
    <phoneticPr fontId="4"/>
  </si>
  <si>
    <t>一括発注・トリガー発注サンプル</t>
    <phoneticPr fontId="4"/>
  </si>
  <si>
    <t>執行数量条件</t>
    <rPh sb="0" eb="2">
      <t>シッコウ</t>
    </rPh>
    <rPh sb="2" eb="4">
      <t>スウリョウ</t>
    </rPh>
    <rPh sb="4" eb="6">
      <t>ジョウケン</t>
    </rPh>
    <phoneticPr fontId="22"/>
  </si>
  <si>
    <t>執行時間条件</t>
    <rPh sb="0" eb="2">
      <t>シッコウ</t>
    </rPh>
    <rPh sb="2" eb="4">
      <t>ジカン</t>
    </rPh>
    <rPh sb="4" eb="6">
      <t>ジョウケン</t>
    </rPh>
    <phoneticPr fontId="22"/>
  </si>
  <si>
    <t>複数の現物売買/信用新規の注文を1度に発注することができるサンプルシート。</t>
    <rPh sb="0" eb="2">
      <t>フクスウ</t>
    </rPh>
    <rPh sb="17" eb="18">
      <t>ド</t>
    </rPh>
    <rPh sb="19" eb="21">
      <t>ハッチュウ</t>
    </rPh>
    <phoneticPr fontId="4"/>
  </si>
  <si>
    <t>余力・保証金率を表示。また、注文条件を入力すると概算約定代金を表示。</t>
    <rPh sb="14" eb="18">
      <t>チュウモンジョウケン</t>
    </rPh>
    <rPh sb="19" eb="21">
      <t>ニュウリョク</t>
    </rPh>
    <rPh sb="24" eb="30">
      <t>ガイサンヤクジョウダイキン</t>
    </rPh>
    <rPh sb="31" eb="33">
      <t>ヒョウジ</t>
    </rPh>
    <phoneticPr fontId="4"/>
  </si>
  <si>
    <t>先物OPの余力・保証金率を表示。また、注文条件を入力すると概算約定代金を表示。</t>
    <rPh sb="19" eb="23">
      <t>チュウモンジョウケン</t>
    </rPh>
    <rPh sb="24" eb="26">
      <t>ニュウリョク</t>
    </rPh>
    <rPh sb="29" eb="35">
      <t>ガイサンヤクジョウダイキン</t>
    </rPh>
    <rPh sb="36" eb="38">
      <t>ヒョウジ</t>
    </rPh>
    <phoneticPr fontId="4"/>
  </si>
  <si>
    <t>複数の先物OP・商品先物の新規注文を1度に発注することができるサンプルシート。</t>
    <rPh sb="0" eb="2">
      <t>フクスウ</t>
    </rPh>
    <rPh sb="13" eb="15">
      <t>シンキ</t>
    </rPh>
    <rPh sb="19" eb="20">
      <t>ド</t>
    </rPh>
    <rPh sb="21" eb="23">
      <t>ハッチュウ</t>
    </rPh>
    <phoneticPr fontId="4"/>
  </si>
  <si>
    <t>指定した銘柄コードの基本情報・チャート情報、また余力・保証金率を表示。</t>
  </si>
  <si>
    <t>時刻</t>
    <rPh sb="0" eb="2">
      <t>ジコク</t>
    </rPh>
    <phoneticPr fontId="4"/>
  </si>
  <si>
    <t>トリガー条件を設定することで、移動平均線の価格差による現物売買/信用新規のトリガー発注をすることができるサンプルシート。</t>
    <rPh sb="4" eb="6">
      <t>ジョウケン</t>
    </rPh>
    <rPh sb="7" eb="9">
      <t>セッテイ</t>
    </rPh>
    <rPh sb="27" eb="31">
      <t>ゲンブツバイバイ</t>
    </rPh>
    <rPh sb="32" eb="36">
      <t>シンヨウシンキ</t>
    </rPh>
    <phoneticPr fontId="4"/>
  </si>
  <si>
    <t>・</t>
    <phoneticPr fontId="4"/>
  </si>
  <si>
    <t>各サンプルシートにある『発注ボタン』『発注IDセットボタン』や関数については、行の追加・削除など、</t>
  </si>
  <si>
    <t>セルの参照位置が変わるような操作をすると、利用できなくなりますのでご了承ください。</t>
  </si>
  <si>
    <t>本サンプルシート利用時は、他のExcelファイルからのRSS関数による発注をした場合、</t>
    <rPh sb="40" eb="42">
      <t>バアイ</t>
    </rPh>
    <phoneticPr fontId="4"/>
  </si>
  <si>
    <t>発注IDが重複すると発注されないのでご了承ください。</t>
    <rPh sb="5" eb="7">
      <t>チョウフク</t>
    </rPh>
    <rPh sb="10" eb="12">
      <t>ハッチュウ</t>
    </rPh>
    <rPh sb="19" eb="21">
      <t>リョウショウ</t>
    </rPh>
    <phoneticPr fontId="4"/>
  </si>
  <si>
    <t>発注トリガーが「1/TRUE」の状態で発注機能を『発注可』に変更した際、注文は発注されます。</t>
    <rPh sb="36" eb="38">
      <t>チュウモン</t>
    </rPh>
    <rPh sb="39" eb="41">
      <t>ハッチュウ</t>
    </rPh>
    <phoneticPr fontId="4"/>
  </si>
  <si>
    <t>発注機能利用時は、発注トリガーが「0/False」となっていることを確認してご利用ください。</t>
    <rPh sb="0" eb="2">
      <t>ハッチュウ</t>
    </rPh>
    <rPh sb="2" eb="4">
      <t>キノウ</t>
    </rPh>
    <rPh sb="4" eb="7">
      <t>リヨウジ</t>
    </rPh>
    <phoneticPr fontId="4"/>
  </si>
  <si>
    <t>・</t>
    <phoneticPr fontId="4"/>
  </si>
  <si>
    <t>・</t>
    <phoneticPr fontId="4"/>
  </si>
  <si>
    <t>本サンプルシートでの注文条件入力欄は、以下のように準備されています。</t>
    <rPh sb="0" eb="1">
      <t>ホン</t>
    </rPh>
    <rPh sb="10" eb="14">
      <t>チュウモンジョウケン</t>
    </rPh>
    <rPh sb="14" eb="16">
      <t>ニュウリョク</t>
    </rPh>
    <rPh sb="16" eb="17">
      <t>ラン</t>
    </rPh>
    <rPh sb="19" eb="21">
      <t>イカ</t>
    </rPh>
    <rPh sb="25" eb="27">
      <t>ジュンビ</t>
    </rPh>
    <phoneticPr fontId="4"/>
  </si>
  <si>
    <t>注文条件入力セル ： この色のセルに注文条件を入力</t>
    <rPh sb="0" eb="2">
      <t>チュウモン</t>
    </rPh>
    <rPh sb="2" eb="4">
      <t>ジョウケン</t>
    </rPh>
    <rPh sb="4" eb="6">
      <t>ニュウリョク</t>
    </rPh>
    <rPh sb="13" eb="14">
      <t>イロ</t>
    </rPh>
    <rPh sb="18" eb="20">
      <t>チュウモン</t>
    </rPh>
    <rPh sb="20" eb="22">
      <t>ジョウケン</t>
    </rPh>
    <rPh sb="23" eb="25">
      <t>ニュウリョク</t>
    </rPh>
    <phoneticPr fontId="4"/>
  </si>
  <si>
    <t>入力不要セル 　　　： この色のセルは入力が必要無いセルなので入力があった場合は削除してください</t>
    <rPh sb="0" eb="2">
      <t>ニュウリョク</t>
    </rPh>
    <rPh sb="2" eb="4">
      <t>フヨウ</t>
    </rPh>
    <rPh sb="14" eb="15">
      <t>イロ</t>
    </rPh>
    <rPh sb="19" eb="21">
      <t>ニュウリョク</t>
    </rPh>
    <rPh sb="22" eb="25">
      <t>ヒツヨウナ</t>
    </rPh>
    <rPh sb="31" eb="33">
      <t>ニュウリョク</t>
    </rPh>
    <rPh sb="37" eb="39">
      <t>バアイ</t>
    </rPh>
    <rPh sb="40" eb="42">
      <t>サクジョ</t>
    </rPh>
    <phoneticPr fontId="4"/>
  </si>
  <si>
    <t>本サンプルシートでは、以下の引数についてはボタンを用意し簡易的に設定可能としています。</t>
    <rPh sb="0" eb="1">
      <t>ホン</t>
    </rPh>
    <rPh sb="11" eb="13">
      <t>イカ</t>
    </rPh>
    <rPh sb="14" eb="16">
      <t>ヒキスウ</t>
    </rPh>
    <rPh sb="25" eb="27">
      <t>ヨウイ</t>
    </rPh>
    <rPh sb="28" eb="31">
      <t>カンイテキ</t>
    </rPh>
    <rPh sb="32" eb="34">
      <t>セッテイ</t>
    </rPh>
    <rPh sb="34" eb="36">
      <t>カノウ</t>
    </rPh>
    <phoneticPr fontId="4"/>
  </si>
  <si>
    <t>以下の引数と注文条件がすべて入力された状態で、発注ボタンクリックやトリガー条件に到達した際に、設定された条件で発注ができます。</t>
    <rPh sb="0" eb="2">
      <t>イカ</t>
    </rPh>
    <rPh sb="3" eb="5">
      <t>ヒキスウ</t>
    </rPh>
    <rPh sb="6" eb="10">
      <t>チュウモンジョウケン</t>
    </rPh>
    <rPh sb="14" eb="16">
      <t>ニュウリョク</t>
    </rPh>
    <rPh sb="19" eb="21">
      <t>ジョウタイ</t>
    </rPh>
    <rPh sb="47" eb="49">
      <t>セッテイ</t>
    </rPh>
    <rPh sb="52" eb="54">
      <t>ジョウケン</t>
    </rPh>
    <phoneticPr fontId="4"/>
  </si>
  <si>
    <t>!! 注意　</t>
    <rPh sb="3" eb="5">
      <t>チュウイ</t>
    </rPh>
    <phoneticPr fontId="4"/>
  </si>
  <si>
    <t>「発注IDセットボタン」を使用する場合、このシートの更新や削除を行わないでください。</t>
    <rPh sb="1" eb="3">
      <t>ハッチュウ</t>
    </rPh>
    <rPh sb="13" eb="15">
      <t>シヨウ</t>
    </rPh>
    <rPh sb="17" eb="19">
      <t>バアイ</t>
    </rPh>
    <rPh sb="26" eb="28">
      <t>コウシン</t>
    </rPh>
    <rPh sb="29" eb="31">
      <t>サクジョ</t>
    </rPh>
    <rPh sb="32" eb="33">
      <t>オコナ</t>
    </rPh>
    <phoneticPr fontId="4"/>
  </si>
  <si>
    <t>このシートが更新されたり削除されたりすると「発注IDセットボタン」が動作しなくなります。</t>
    <rPh sb="6" eb="8">
      <t>コウシン</t>
    </rPh>
    <rPh sb="12" eb="14">
      <t>サクジョ</t>
    </rPh>
    <phoneticPr fontId="4"/>
  </si>
  <si>
    <t>発注ID</t>
  </si>
  <si>
    <t>関数名</t>
  </si>
  <si>
    <t>発注日</t>
  </si>
  <si>
    <t>発注時刻</t>
  </si>
  <si>
    <t>注文番号</t>
  </si>
  <si>
    <t>発注結果</t>
  </si>
  <si>
    <t>1：本日中　2：今週中　3：寄付　4：引け　5：期間指定　6：大引不成   7：不成　(セット注文区分が「1：セット注文(予約する)」の場合、必須。)</t>
    <phoneticPr fontId="4"/>
  </si>
  <si>
    <t>1：本日中　2：今週中　3：寄付　4：引け　5：期間指定　6：大引不成   7：不成</t>
    <phoneticPr fontId="4"/>
  </si>
  <si>
    <t>銘柄名</t>
    <rPh sb="0" eb="3">
      <t>メイガラメイ</t>
    </rPh>
    <phoneticPr fontId="12"/>
  </si>
  <si>
    <t>日付</t>
    <rPh sb="0" eb="2">
      <t>ヒヅケ</t>
    </rPh>
    <phoneticPr fontId="4"/>
  </si>
  <si>
    <t>証拠金維持率</t>
    <phoneticPr fontId="4"/>
  </si>
  <si>
    <t>受入証拠金</t>
    <phoneticPr fontId="4"/>
  </si>
  <si>
    <t>最低証拠金所要額</t>
    <phoneticPr fontId="4"/>
  </si>
  <si>
    <t>当社証拠金所要額</t>
    <phoneticPr fontId="4"/>
  </si>
  <si>
    <t>追証余裕額</t>
    <phoneticPr fontId="4"/>
  </si>
  <si>
    <t>純資産</t>
    <phoneticPr fontId="4"/>
  </si>
  <si>
    <t>オンラインヘルプ　TOP</t>
    <phoneticPr fontId="4"/>
  </si>
  <si>
    <t>0：成行、 1：指値 (注文区分が「0：通常注文」 or 「1：逆指値付通常注文」 の場合、必須。)</t>
    <phoneticPr fontId="4"/>
  </si>
  <si>
    <t>0：特定、 1：一般、 2：NISA</t>
    <phoneticPr fontId="4"/>
  </si>
  <si>
    <t>使用済最大発注ID</t>
    <phoneticPr fontId="4"/>
  </si>
  <si>
    <t>--------</t>
    <phoneticPr fontId="4"/>
  </si>
  <si>
    <t>--------</t>
    <phoneticPr fontId="4"/>
  </si>
  <si>
    <t>売買代金(千円)</t>
    <rPh sb="0" eb="4">
      <t>バイバイダイキン</t>
    </rPh>
    <rPh sb="5" eb="7">
      <t>センエン</t>
    </rPh>
    <phoneticPr fontId="4"/>
  </si>
  <si>
    <t>時価総額(百万円)</t>
    <rPh sb="0" eb="4">
      <t>ジカソウガク</t>
    </rPh>
    <rPh sb="5" eb="7">
      <t>ヒャクマン</t>
    </rPh>
    <rPh sb="7" eb="8">
      <t>エン</t>
    </rPh>
    <phoneticPr fontId="4"/>
  </si>
  <si>
    <t>--------</t>
  </si>
  <si>
    <t>12:40</t>
  </si>
  <si>
    <t>2021/12/02</t>
  </si>
  <si>
    <t>東証</t>
  </si>
  <si>
    <t>13:50</t>
  </si>
  <si>
    <t>14:00</t>
  </si>
  <si>
    <t>14:10</t>
  </si>
  <si>
    <t>14:20</t>
  </si>
  <si>
    <t>14:30</t>
  </si>
  <si>
    <t>14:40</t>
  </si>
  <si>
    <t>14:50</t>
  </si>
  <si>
    <t>15:00</t>
  </si>
  <si>
    <t>2021/11/30</t>
  </si>
  <si>
    <t>09:00</t>
  </si>
  <si>
    <t>09:10</t>
  </si>
  <si>
    <t>09:20</t>
  </si>
  <si>
    <t>09:30</t>
  </si>
  <si>
    <t>09:40</t>
  </si>
  <si>
    <t>09:50</t>
  </si>
  <si>
    <t>10:00</t>
  </si>
  <si>
    <t>10:10</t>
  </si>
  <si>
    <t>10:20</t>
  </si>
  <si>
    <t>10:30</t>
  </si>
  <si>
    <t>10:40</t>
  </si>
  <si>
    <t>10:50</t>
  </si>
  <si>
    <t>11:00</t>
  </si>
  <si>
    <t>11:10</t>
  </si>
  <si>
    <t>11:20</t>
  </si>
  <si>
    <t>11:30</t>
  </si>
  <si>
    <t>12:30</t>
  </si>
  <si>
    <t>12:50</t>
  </si>
  <si>
    <t>13:00</t>
  </si>
  <si>
    <t>13:10</t>
  </si>
  <si>
    <t>13:20</t>
  </si>
  <si>
    <t>13:30</t>
  </si>
  <si>
    <t>13:40</t>
  </si>
  <si>
    <t>2021/12/01</t>
  </si>
  <si>
    <t>楽天グループ</t>
  </si>
  <si>
    <t>現在値</t>
    <rPh sb="0" eb="2">
      <t>ゲンザイ</t>
    </rPh>
    <rPh sb="2" eb="3">
      <t>アタイ</t>
    </rPh>
    <phoneticPr fontId="4"/>
  </si>
  <si>
    <t>前回値</t>
    <rPh sb="0" eb="2">
      <t>ゼンカイ</t>
    </rPh>
    <rPh sb="2" eb="3">
      <t>ネ</t>
    </rPh>
    <phoneticPr fontId="4"/>
  </si>
  <si>
    <t>（1 : 上 ,2 : 下）</t>
    <rPh sb="5" eb="6">
      <t>ウエ</t>
    </rPh>
    <rPh sb="12" eb="13">
      <t>シタ</t>
    </rPh>
    <phoneticPr fontId="4"/>
  </si>
  <si>
    <t>銘柄コード</t>
    <phoneticPr fontId="4"/>
  </si>
  <si>
    <t>銘柄名称</t>
    <phoneticPr fontId="4"/>
  </si>
  <si>
    <t>口座区分</t>
    <phoneticPr fontId="4"/>
  </si>
  <si>
    <t>建市場</t>
    <phoneticPr fontId="4"/>
  </si>
  <si>
    <t>信用区分</t>
    <phoneticPr fontId="4"/>
  </si>
  <si>
    <t>弁済期限</t>
    <phoneticPr fontId="4"/>
  </si>
  <si>
    <t>売買</t>
    <phoneticPr fontId="4"/>
  </si>
  <si>
    <t>建玉数量</t>
    <phoneticPr fontId="4"/>
  </si>
  <si>
    <t>発注数量</t>
    <phoneticPr fontId="4"/>
  </si>
  <si>
    <t>建値</t>
    <phoneticPr fontId="4"/>
  </si>
  <si>
    <t>建日</t>
    <phoneticPr fontId="4"/>
  </si>
  <si>
    <t>最終返済日</t>
    <phoneticPr fontId="4"/>
  </si>
  <si>
    <t>時価</t>
    <phoneticPr fontId="4"/>
  </si>
  <si>
    <t>前日比</t>
    <phoneticPr fontId="4"/>
  </si>
  <si>
    <t>前日比率</t>
    <phoneticPr fontId="4"/>
  </si>
  <si>
    <t>時価評価額</t>
    <phoneticPr fontId="4"/>
  </si>
  <si>
    <t>評価損益額</t>
    <phoneticPr fontId="4"/>
  </si>
  <si>
    <t>評価損益率</t>
    <phoneticPr fontId="4"/>
  </si>
  <si>
    <t>保証金率</t>
    <phoneticPr fontId="4"/>
  </si>
  <si>
    <t>現金保証金率</t>
    <phoneticPr fontId="4"/>
  </si>
  <si>
    <t>建日</t>
    <rPh sb="0" eb="1">
      <t>タ</t>
    </rPh>
    <rPh sb="1" eb="2">
      <t>ビ</t>
    </rPh>
    <phoneticPr fontId="4"/>
  </si>
  <si>
    <t>建単価</t>
    <rPh sb="0" eb="1">
      <t>タツル</t>
    </rPh>
    <rPh sb="1" eb="3">
      <t>タンカ</t>
    </rPh>
    <phoneticPr fontId="4"/>
  </si>
  <si>
    <t>建市場</t>
    <rPh sb="0" eb="1">
      <t>タ</t>
    </rPh>
    <rPh sb="1" eb="3">
      <t>イチバ</t>
    </rPh>
    <phoneticPr fontId="4"/>
  </si>
  <si>
    <t>直近の高値</t>
    <rPh sb="0" eb="2">
      <t>チョッキン</t>
    </rPh>
    <rPh sb="3" eb="5">
      <t>タカネ</t>
    </rPh>
    <phoneticPr fontId="4"/>
  </si>
  <si>
    <t>直近の安値</t>
    <rPh sb="0" eb="2">
      <t>チョッキン</t>
    </rPh>
    <rPh sb="3" eb="5">
      <t>ヤスネ</t>
    </rPh>
    <phoneticPr fontId="4"/>
  </si>
  <si>
    <t>5M</t>
    <phoneticPr fontId="4"/>
  </si>
  <si>
    <t>建玉があれば返済可能</t>
    <rPh sb="0" eb="2">
      <t>タテギョク</t>
    </rPh>
    <rPh sb="6" eb="8">
      <t>ヘンサイ</t>
    </rPh>
    <rPh sb="8" eb="10">
      <t>カノウ</t>
    </rPh>
    <phoneticPr fontId="4"/>
  </si>
  <si>
    <t>ストップロス</t>
    <phoneticPr fontId="4"/>
  </si>
  <si>
    <t>トレーリングストップ</t>
    <phoneticPr fontId="4"/>
  </si>
  <si>
    <t>注文番号</t>
    <rPh sb="0" eb="4">
      <t>チュウモンバンゴウ</t>
    </rPh>
    <phoneticPr fontId="4"/>
  </si>
  <si>
    <t>※買建は短期移動平均線の上に現在値がないと注文しないでください。順張りのルールをお守りください。</t>
    <rPh sb="1" eb="2">
      <t>カ</t>
    </rPh>
    <rPh sb="2" eb="3">
      <t>タ</t>
    </rPh>
    <rPh sb="4" eb="6">
      <t>タンキ</t>
    </rPh>
    <rPh sb="6" eb="11">
      <t>イドウヘイキンセン</t>
    </rPh>
    <rPh sb="12" eb="13">
      <t>ウエ</t>
    </rPh>
    <rPh sb="14" eb="17">
      <t>ゲンザイネ</t>
    </rPh>
    <rPh sb="21" eb="23">
      <t>チュウモン</t>
    </rPh>
    <rPh sb="32" eb="34">
      <t>ジュンバ</t>
    </rPh>
    <rPh sb="41" eb="42">
      <t>マモ</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</si>
</sst>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font>
      <sz val="11"/>
      <color theme="1"/>
      <name val="游ゴシック"/>
      <family val="2"/>
      <charset val="128"/>
      <scheme val="minor"/>
    </font>
    <font>
      <sz val="11"/>
      <color theme="1"/>
      <name val="游ゴシック"/>
      <family val="2"/>
      <charset val="128"/>
      <scheme val="minor"/>
    </font>
    <font>
      <sz val="11"/>
      <color theme="1"/>
      <name val="Meiryo UI"/>
      <family val="2"/>
      <charset val="128"/>
    </font>
    <font>
      <sz val="10"/>
      <color theme="1"/>
      <name val="Meiryo UI"/>
      <family val="3"/>
      <charset val="128"/>
    </font>
    <font>
      <sz val="6"/>
      <name val="游ゴシック"/>
      <family val="2"/>
      <charset val="128"/>
      <scheme val="minor"/>
    </font>
    <font>
      <b/>
      <sz val="10"/>
      <color theme="1"/>
      <name val="Meiryo UI"/>
      <family val="3"/>
      <charset val="128"/>
    </font>
    <font>
      <b/>
      <sz val="12"/>
      <color theme="1"/>
      <name val="Meiryo UI"/>
      <family val="3"/>
      <charset val="128"/>
    </font>
    <font>
      <sz val="9"/>
      <color indexed="81"/>
      <name val="ＭＳ Ｐゴシック"/>
      <family val="3"/>
      <charset val="128"/>
    </font>
    <font>
      <sz val="11"/>
      <color theme="1"/>
      <name val="Meiryo UI"/>
      <family val="3"/>
      <charset val="128"/>
    </font>
    <font>
      <sz val="13"/>
      <color theme="1"/>
      <name val="Meiryo UI"/>
      <family val="3"/>
      <charset val="128"/>
    </font>
    <font>
      <b/>
      <sz val="16"/>
      <color theme="1"/>
      <name val="Meiryo UI"/>
      <family val="3"/>
      <charset val="128"/>
    </font>
    <font>
      <sz val="9"/>
      <color indexed="81"/>
      <name val="Meiryo UI"/>
      <family val="3"/>
      <charset val="128"/>
    </font>
    <font>
      <sz val="6"/>
      <name val="Meiryo UI"/>
      <family val="2"/>
      <charset val="128"/>
    </font>
    <font>
      <sz val="10"/>
      <name val="Meiryo UI"/>
      <family val="3"/>
      <charset val="128"/>
    </font>
    <font>
      <b/>
      <sz val="10"/>
      <color rgb="FFFF0000"/>
      <name val="Meiryo UI"/>
      <family val="3"/>
      <charset val="128"/>
    </font>
    <font>
      <b/>
      <sz val="11"/>
      <color theme="1"/>
      <name val="Meiryo UI"/>
      <family val="3"/>
      <charset val="128"/>
    </font>
    <font>
      <b/>
      <sz val="11"/>
      <color indexed="81"/>
      <name val="MS P ゴシック"/>
      <family val="3"/>
      <charset val="128"/>
    </font>
    <font>
      <sz val="12"/>
      <color theme="1"/>
      <name val="Meiryo UI"/>
      <family val="3"/>
      <charset val="128"/>
    </font>
    <font>
      <u/>
      <sz val="9"/>
      <color indexed="12"/>
      <name val="ＭＳ Ｐゴシック"/>
      <family val="3"/>
      <charset val="128"/>
    </font>
    <font>
      <u/>
      <sz val="12"/>
      <color indexed="12"/>
      <name val="Meiryo UI"/>
      <family val="3"/>
      <charset val="128"/>
    </font>
    <font>
      <u/>
      <sz val="12"/>
      <color theme="8"/>
      <name val="Meiryo UI"/>
      <family val="3"/>
      <charset val="128"/>
    </font>
    <font>
      <b/>
      <sz val="14"/>
      <color theme="1"/>
      <name val="Meiryo UI"/>
      <family val="3"/>
      <charset val="128"/>
    </font>
    <font>
      <sz val="18"/>
      <color theme="3"/>
      <name val="游ゴシック Light"/>
      <family val="2"/>
      <charset val="128"/>
      <scheme val="major"/>
    </font>
    <font>
      <sz val="11"/>
      <color rgb="FFFF0000"/>
      <name val="游ゴシック"/>
      <family val="2"/>
      <charset val="128"/>
      <scheme val="minor"/>
    </font>
    <font>
      <sz val="11"/>
      <color rgb="FFFF0000"/>
      <name val="游ゴシック"/>
      <family val="3"/>
      <charset val="128"/>
      <scheme val="minor"/>
    </font>
    <font>
      <sz val="9"/>
      <color theme="1"/>
      <name val="Meiryo UI"/>
      <family val="3"/>
      <charset val="128"/>
    </font>
    <font>
      <sz val="11"/>
      <color rgb="FFFF9966"/>
      <name val="Meiryo UI"/>
      <family val="3"/>
      <charset val="128"/>
    </font>
    <font>
      <sz val="11"/>
      <color theme="4" tint="-0.249977111117893"/>
      <name val="Meiryo UI"/>
      <family val="3"/>
      <charset val="128"/>
    </font>
    <font>
      <sz val="11"/>
      <name val="游ゴシック"/>
      <family val="3"/>
      <charset val="128"/>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rgb="FFFFFF00"/>
        <bgColor indexed="64"/>
      </patternFill>
    </fill>
  </fills>
  <borders count="1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rgb="FFC00000"/>
      </left>
      <right style="medium">
        <color rgb="FFC00000"/>
      </right>
      <top style="medium">
        <color rgb="FFC00000"/>
      </top>
      <bottom style="medium">
        <color rgb="FFC00000"/>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5">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alignment vertical="center"/>
    </xf>
    <xf numFmtId="0" fontId="18" fillId="0" borderId="0" applyNumberFormat="0" applyFill="0" applyBorder="0" applyAlignment="0" applyProtection="0">
      <alignment vertical="top"/>
      <protection locked="0"/>
    </xf>
  </cellStyleXfs>
  <cellXfs count="129">
    <xf numFmtId="0" fontId="0" fillId="0" borderId="0" xfId="0">
      <alignment vertical="center"/>
    </xf>
    <xf numFmtId="0" fontId="3" fillId="0" borderId="0" xfId="3" applyFont="1">
      <alignment vertical="center"/>
    </xf>
    <xf numFmtId="0" fontId="3" fillId="0" borderId="2" xfId="3" applyFont="1" applyBorder="1">
      <alignment vertical="center"/>
    </xf>
    <xf numFmtId="0" fontId="3" fillId="0" borderId="3" xfId="3" applyFont="1" applyBorder="1" applyAlignment="1">
      <alignment horizontal="left" vertical="center"/>
    </xf>
    <xf numFmtId="0" fontId="3" fillId="0" borderId="4" xfId="3" applyFont="1" applyBorder="1" applyAlignment="1">
      <alignment horizontal="left" vertical="center"/>
    </xf>
    <xf numFmtId="0" fontId="5" fillId="0" borderId="5" xfId="0" applyFont="1" applyBorder="1">
      <alignment vertical="center"/>
    </xf>
    <xf numFmtId="0" fontId="3" fillId="0" borderId="2" xfId="0" quotePrefix="1" applyFont="1" applyBorder="1">
      <alignment vertical="center"/>
    </xf>
    <xf numFmtId="0" fontId="3" fillId="0" borderId="6" xfId="3" applyFont="1" applyBorder="1" applyAlignment="1">
      <alignment horizontal="left" vertical="center"/>
    </xf>
    <xf numFmtId="0" fontId="3" fillId="0" borderId="7" xfId="3" applyFont="1" applyBorder="1" applyAlignment="1">
      <alignment horizontal="left" vertical="center"/>
    </xf>
    <xf numFmtId="0" fontId="3" fillId="0" borderId="3" xfId="3" applyFont="1" applyBorder="1">
      <alignment vertical="center"/>
    </xf>
    <xf numFmtId="0" fontId="3" fillId="0" borderId="4" xfId="3" applyFont="1" applyBorder="1">
      <alignment vertical="center"/>
    </xf>
    <xf numFmtId="0" fontId="3" fillId="0" borderId="2" xfId="3" applyFont="1" applyBorder="1" applyAlignment="1">
      <alignment vertical="center" shrinkToFit="1"/>
    </xf>
    <xf numFmtId="0" fontId="6" fillId="0" borderId="0" xfId="3" applyFont="1">
      <alignment vertical="center"/>
    </xf>
    <xf numFmtId="0" fontId="3" fillId="2" borderId="2" xfId="3" applyFont="1" applyFill="1" applyBorder="1">
      <alignment vertical="center"/>
    </xf>
    <xf numFmtId="0" fontId="3" fillId="3" borderId="2" xfId="3" applyFont="1" applyFill="1" applyBorder="1">
      <alignment vertical="center"/>
    </xf>
    <xf numFmtId="0" fontId="3" fillId="0" borderId="0" xfId="3" applyFont="1" applyAlignment="1">
      <alignment vertical="center" wrapText="1"/>
    </xf>
    <xf numFmtId="0" fontId="3" fillId="4" borderId="2" xfId="3" applyFont="1" applyFill="1" applyBorder="1" applyAlignment="1">
      <alignment vertical="center" shrinkToFit="1"/>
    </xf>
    <xf numFmtId="0" fontId="3" fillId="5" borderId="2" xfId="3" applyFont="1" applyFill="1" applyBorder="1" applyAlignment="1">
      <alignment vertical="center" shrinkToFit="1"/>
    </xf>
    <xf numFmtId="0" fontId="8" fillId="0" borderId="0" xfId="0" quotePrefix="1" applyFont="1">
      <alignment vertical="center"/>
    </xf>
    <xf numFmtId="38" fontId="8" fillId="0" borderId="2" xfId="1" applyFont="1" applyBorder="1">
      <alignment vertical="center"/>
    </xf>
    <xf numFmtId="0" fontId="3" fillId="0" borderId="2" xfId="0" applyFont="1" applyBorder="1" applyAlignment="1">
      <alignment horizontal="center" vertical="center"/>
    </xf>
    <xf numFmtId="0" fontId="3" fillId="6" borderId="5" xfId="0" applyFont="1" applyFill="1" applyBorder="1" applyAlignment="1">
      <alignment horizontal="center" vertical="center"/>
    </xf>
    <xf numFmtId="0" fontId="8" fillId="0" borderId="2" xfId="0" applyFont="1" applyBorder="1">
      <alignment vertical="center"/>
    </xf>
    <xf numFmtId="0" fontId="8" fillId="0" borderId="0" xfId="0" applyFont="1">
      <alignment vertical="center"/>
    </xf>
    <xf numFmtId="0" fontId="9" fillId="0" borderId="0" xfId="0" applyFont="1">
      <alignment vertical="center"/>
    </xf>
    <xf numFmtId="0" fontId="10" fillId="0" borderId="0" xfId="3" applyFont="1">
      <alignment vertical="center"/>
    </xf>
    <xf numFmtId="0" fontId="3" fillId="0" borderId="8" xfId="3" applyFont="1" applyBorder="1" applyAlignment="1">
      <alignment horizontal="left" vertical="center"/>
    </xf>
    <xf numFmtId="0" fontId="3" fillId="0" borderId="0" xfId="0" applyFont="1">
      <alignment vertical="center"/>
    </xf>
    <xf numFmtId="0" fontId="5" fillId="0" borderId="0" xfId="3" applyFont="1">
      <alignment vertical="center"/>
    </xf>
    <xf numFmtId="14" fontId="8" fillId="0" borderId="2" xfId="0" quotePrefix="1" applyNumberFormat="1" applyFont="1" applyBorder="1">
      <alignment vertical="center"/>
    </xf>
    <xf numFmtId="3" fontId="8" fillId="0" borderId="2" xfId="0" quotePrefix="1" applyNumberFormat="1" applyFont="1" applyBorder="1">
      <alignment vertical="center"/>
    </xf>
    <xf numFmtId="0" fontId="8" fillId="0" borderId="2" xfId="0" quotePrefix="1" applyFont="1" applyBorder="1">
      <alignment vertical="center"/>
    </xf>
    <xf numFmtId="176" fontId="8" fillId="0" borderId="2" xfId="0" applyNumberFormat="1" applyFont="1" applyBorder="1">
      <alignment vertical="center"/>
    </xf>
    <xf numFmtId="0" fontId="3" fillId="2" borderId="5" xfId="0" applyFont="1" applyFill="1" applyBorder="1" applyAlignment="1">
      <alignment horizontal="center" vertical="center"/>
    </xf>
    <xf numFmtId="0" fontId="3" fillId="0" borderId="2" xfId="0" applyFont="1" applyBorder="1" applyAlignment="1">
      <alignment horizontal="left" vertical="center"/>
    </xf>
    <xf numFmtId="0" fontId="3" fillId="0" borderId="2" xfId="0" applyFont="1" applyBorder="1">
      <alignment vertical="center"/>
    </xf>
    <xf numFmtId="0" fontId="3" fillId="7" borderId="2" xfId="0" applyFont="1" applyFill="1" applyBorder="1">
      <alignment vertical="center"/>
    </xf>
    <xf numFmtId="0" fontId="5" fillId="7" borderId="5" xfId="0" applyFont="1" applyFill="1" applyBorder="1" applyAlignment="1">
      <alignment horizontal="center" vertical="center"/>
    </xf>
    <xf numFmtId="0" fontId="3" fillId="7"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7" borderId="5" xfId="0" applyFont="1" applyFill="1" applyBorder="1" applyAlignment="1">
      <alignment horizontal="center" vertical="center"/>
    </xf>
    <xf numFmtId="0" fontId="3" fillId="0" borderId="0" xfId="0" quotePrefix="1" applyFont="1">
      <alignment vertical="center"/>
    </xf>
    <xf numFmtId="0" fontId="8" fillId="3" borderId="2" xfId="0" applyFont="1" applyFill="1" applyBorder="1">
      <alignment vertical="center"/>
    </xf>
    <xf numFmtId="0" fontId="8" fillId="0" borderId="0" xfId="0" applyFont="1" applyAlignment="1">
      <alignment horizontal="center" vertical="center"/>
    </xf>
    <xf numFmtId="0" fontId="8" fillId="0" borderId="2" xfId="0" applyFont="1" applyBorder="1" applyAlignment="1">
      <alignment horizontal="right" vertical="center"/>
    </xf>
    <xf numFmtId="0" fontId="8" fillId="0" borderId="2" xfId="0" applyFont="1" applyBorder="1" applyAlignment="1">
      <alignment horizontal="center" vertical="center"/>
    </xf>
    <xf numFmtId="38" fontId="8" fillId="0" borderId="2" xfId="1" applyFont="1" applyBorder="1" applyAlignment="1">
      <alignment vertical="center"/>
    </xf>
    <xf numFmtId="0" fontId="8" fillId="0" borderId="6" xfId="0" applyFont="1" applyBorder="1">
      <alignment vertical="center"/>
    </xf>
    <xf numFmtId="0" fontId="8" fillId="0" borderId="7" xfId="0" applyFont="1" applyBorder="1">
      <alignment vertical="center"/>
    </xf>
    <xf numFmtId="0" fontId="8" fillId="0" borderId="8" xfId="0" applyFont="1" applyBorder="1">
      <alignment vertical="center"/>
    </xf>
    <xf numFmtId="0" fontId="8" fillId="0" borderId="9" xfId="0" applyFont="1" applyBorder="1">
      <alignment vertical="center"/>
    </xf>
    <xf numFmtId="0" fontId="8" fillId="2" borderId="10" xfId="0" applyFont="1" applyFill="1" applyBorder="1">
      <alignment vertical="center"/>
    </xf>
    <xf numFmtId="0" fontId="8" fillId="0" borderId="11" xfId="0" applyFont="1" applyBorder="1">
      <alignment vertical="center"/>
    </xf>
    <xf numFmtId="0" fontId="8" fillId="0" borderId="12" xfId="0" applyFont="1" applyBorder="1">
      <alignment vertical="center"/>
    </xf>
    <xf numFmtId="0" fontId="8" fillId="0" borderId="13" xfId="0" applyFont="1" applyBorder="1">
      <alignment vertical="center"/>
    </xf>
    <xf numFmtId="0" fontId="8" fillId="2" borderId="13" xfId="0" applyFont="1" applyFill="1" applyBorder="1">
      <alignment vertical="center"/>
    </xf>
    <xf numFmtId="0" fontId="8" fillId="0" borderId="14" xfId="0" applyFont="1" applyBorder="1">
      <alignment vertical="center"/>
    </xf>
    <xf numFmtId="0" fontId="15" fillId="8" borderId="12" xfId="0" applyFont="1" applyFill="1" applyBorder="1">
      <alignment vertical="center"/>
    </xf>
    <xf numFmtId="0" fontId="15" fillId="8" borderId="13" xfId="0" applyFont="1" applyFill="1" applyBorder="1">
      <alignment vertical="center"/>
    </xf>
    <xf numFmtId="0" fontId="15" fillId="8" borderId="14" xfId="0" applyFont="1" applyFill="1" applyBorder="1">
      <alignment vertical="center"/>
    </xf>
    <xf numFmtId="176" fontId="8" fillId="0" borderId="10" xfId="0" applyNumberFormat="1" applyFont="1" applyBorder="1">
      <alignment vertical="center"/>
    </xf>
    <xf numFmtId="0" fontId="8" fillId="0" borderId="15" xfId="0" applyFont="1" applyBorder="1">
      <alignment vertical="center"/>
    </xf>
    <xf numFmtId="0" fontId="8" fillId="0" borderId="5" xfId="0" applyFont="1" applyBorder="1">
      <alignment vertical="center"/>
    </xf>
    <xf numFmtId="9" fontId="8" fillId="0" borderId="0" xfId="2" quotePrefix="1" applyFont="1" applyFill="1" applyBorder="1">
      <alignment vertical="center"/>
    </xf>
    <xf numFmtId="38" fontId="8" fillId="0" borderId="0" xfId="1" quotePrefix="1" applyFont="1" applyBorder="1">
      <alignment vertical="center"/>
    </xf>
    <xf numFmtId="0" fontId="17" fillId="0" borderId="0" xfId="0" applyFont="1">
      <alignment vertical="center"/>
    </xf>
    <xf numFmtId="0" fontId="19" fillId="0" borderId="0" xfId="4" applyFont="1" applyBorder="1" applyAlignment="1" applyProtection="1">
      <alignment vertical="center" wrapText="1"/>
    </xf>
    <xf numFmtId="0" fontId="17" fillId="0" borderId="0" xfId="0" applyFont="1" applyAlignment="1">
      <alignment horizontal="center" vertical="center" wrapText="1"/>
    </xf>
    <xf numFmtId="0" fontId="17" fillId="0" borderId="0" xfId="0" applyFont="1" applyAlignment="1">
      <alignment horizontal="right" vertical="center" wrapText="1"/>
    </xf>
    <xf numFmtId="0" fontId="20" fillId="0" borderId="0" xfId="0" applyFont="1">
      <alignment vertical="center"/>
    </xf>
    <xf numFmtId="49" fontId="17" fillId="0" borderId="0" xfId="0" applyNumberFormat="1" applyFont="1" applyAlignment="1">
      <alignment horizontal="right" vertical="center"/>
    </xf>
    <xf numFmtId="0" fontId="21" fillId="0" borderId="0" xfId="0" applyFont="1">
      <alignment vertical="center"/>
    </xf>
    <xf numFmtId="0" fontId="17" fillId="0" borderId="0" xfId="0" applyFont="1" applyAlignment="1">
      <alignment horizontal="center" vertical="center"/>
    </xf>
    <xf numFmtId="0" fontId="17" fillId="0" borderId="0" xfId="0" applyFont="1" applyAlignment="1">
      <alignment horizontal="left" vertical="center"/>
    </xf>
    <xf numFmtId="49" fontId="17" fillId="0" borderId="0" xfId="0" applyNumberFormat="1" applyFont="1">
      <alignment vertical="center"/>
    </xf>
    <xf numFmtId="0" fontId="3" fillId="0" borderId="0" xfId="0" applyFont="1" applyAlignment="1">
      <alignment vertical="center" wrapText="1"/>
    </xf>
    <xf numFmtId="49" fontId="17" fillId="0" borderId="0" xfId="0" applyNumberFormat="1" applyFont="1" applyAlignment="1">
      <alignment horizontal="left" vertical="center"/>
    </xf>
    <xf numFmtId="0" fontId="19" fillId="0" borderId="0" xfId="4" applyFont="1" applyBorder="1" applyAlignment="1" applyProtection="1">
      <alignment vertical="center"/>
    </xf>
    <xf numFmtId="0" fontId="17" fillId="0" borderId="0" xfId="0" quotePrefix="1" applyFont="1" applyAlignment="1">
      <alignment horizontal="right" vertical="center"/>
    </xf>
    <xf numFmtId="0" fontId="8" fillId="4" borderId="2" xfId="0" applyFont="1" applyFill="1" applyBorder="1">
      <alignment vertical="center"/>
    </xf>
    <xf numFmtId="0" fontId="8" fillId="2"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3" xfId="0" applyFont="1" applyFill="1" applyBorder="1" applyAlignment="1">
      <alignment horizontal="center" vertical="center"/>
    </xf>
    <xf numFmtId="0" fontId="23" fillId="0" borderId="0" xfId="0" applyFont="1">
      <alignment vertical="center"/>
    </xf>
    <xf numFmtId="0" fontId="24" fillId="0" borderId="0" xfId="0" applyFont="1">
      <alignment vertical="center"/>
    </xf>
    <xf numFmtId="0" fontId="0" fillId="0" borderId="0" xfId="0" quotePrefix="1">
      <alignment vertical="center"/>
    </xf>
    <xf numFmtId="0" fontId="3" fillId="2" borderId="2"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38" fontId="3" fillId="0" borderId="2" xfId="1" applyFont="1" applyFill="1" applyBorder="1">
      <alignment vertical="center"/>
    </xf>
    <xf numFmtId="38" fontId="3" fillId="0" borderId="1" xfId="1" applyFont="1" applyFill="1" applyBorder="1">
      <alignment vertical="center"/>
    </xf>
    <xf numFmtId="0" fontId="8" fillId="2" borderId="2" xfId="0" applyFont="1" applyFill="1" applyBorder="1" applyAlignment="1">
      <alignment horizontal="left" vertical="center"/>
    </xf>
    <xf numFmtId="0" fontId="25" fillId="0" borderId="2" xfId="3" applyFont="1" applyBorder="1" applyAlignment="1">
      <alignment vertical="center" shrinkToFit="1"/>
    </xf>
    <xf numFmtId="0" fontId="28" fillId="0" borderId="0" xfId="0" applyFont="1">
      <alignment vertical="center"/>
    </xf>
    <xf numFmtId="0" fontId="5" fillId="0" borderId="0" xfId="0" applyFont="1">
      <alignment vertical="center"/>
    </xf>
    <xf numFmtId="0" fontId="5" fillId="0" borderId="2" xfId="0" applyFont="1" applyBorder="1" applyAlignment="1">
      <alignment horizontal="center" vertical="center"/>
    </xf>
    <xf numFmtId="10" fontId="8" fillId="0" borderId="2" xfId="2" applyNumberFormat="1" applyFont="1" applyBorder="1" applyAlignment="1">
      <alignment horizontal="right" vertical="center"/>
    </xf>
    <xf numFmtId="38" fontId="8" fillId="0" borderId="2" xfId="1" applyFont="1" applyBorder="1" applyAlignment="1">
      <alignment horizontal="right" vertical="center"/>
    </xf>
    <xf numFmtId="40" fontId="8" fillId="0" borderId="2" xfId="1" applyNumberFormat="1" applyFont="1" applyBorder="1" applyAlignment="1">
      <alignment horizontal="right" vertical="center"/>
    </xf>
    <xf numFmtId="0" fontId="8" fillId="0" borderId="2" xfId="1" applyNumberFormat="1" applyFont="1" applyBorder="1" applyAlignment="1">
      <alignment horizontal="right" vertical="center"/>
    </xf>
    <xf numFmtId="40" fontId="8" fillId="0" borderId="2" xfId="1" applyNumberFormat="1" applyFont="1" applyFill="1" applyBorder="1">
      <alignment vertical="center"/>
    </xf>
    <xf numFmtId="40" fontId="8" fillId="0" borderId="2" xfId="1" applyNumberFormat="1" applyFont="1" applyBorder="1">
      <alignment vertical="center"/>
    </xf>
    <xf numFmtId="0" fontId="3" fillId="0" borderId="2" xfId="0" applyFont="1" applyBorder="1" applyAlignment="1">
      <alignment horizontal="center" vertical="center"/>
    </xf>
    <xf numFmtId="0" fontId="3" fillId="0" borderId="2" xfId="0" applyFont="1" applyBorder="1" applyAlignment="1">
      <alignment horizontal="left" vertical="center" wrapText="1"/>
    </xf>
    <xf numFmtId="0" fontId="3" fillId="7" borderId="2" xfId="0" applyFont="1" applyFill="1" applyBorder="1" applyAlignment="1">
      <alignment horizontal="center" vertical="center"/>
    </xf>
    <xf numFmtId="0" fontId="3" fillId="0" borderId="5" xfId="3" applyFont="1" applyBorder="1" applyAlignment="1">
      <alignment horizontal="center" vertical="center"/>
    </xf>
    <xf numFmtId="0" fontId="3" fillId="0" borderId="3" xfId="3" applyFont="1" applyBorder="1" applyAlignment="1">
      <alignment horizontal="center" vertical="center"/>
    </xf>
    <xf numFmtId="0" fontId="3" fillId="0" borderId="5" xfId="3" applyFont="1" applyBorder="1" applyAlignment="1">
      <alignment horizontal="left" vertical="center"/>
    </xf>
    <xf numFmtId="0" fontId="3" fillId="0" borderId="4" xfId="3" applyFont="1" applyBorder="1" applyAlignment="1">
      <alignment horizontal="left" vertical="center"/>
    </xf>
    <xf numFmtId="0" fontId="3" fillId="0" borderId="3" xfId="3" applyFont="1" applyBorder="1" applyAlignment="1">
      <alignment horizontal="left" vertical="center"/>
    </xf>
    <xf numFmtId="0" fontId="3" fillId="0" borderId="5" xfId="0" applyFont="1" applyBorder="1" applyAlignment="1">
      <alignment horizontal="left" vertical="center" wrapText="1"/>
    </xf>
    <xf numFmtId="0" fontId="3" fillId="0" borderId="4" xfId="0" applyFont="1" applyBorder="1" applyAlignment="1">
      <alignment horizontal="left" vertical="center" wrapText="1"/>
    </xf>
    <xf numFmtId="0" fontId="3" fillId="0" borderId="3" xfId="0" applyFont="1" applyBorder="1" applyAlignment="1">
      <alignment horizontal="left" vertical="center" wrapText="1"/>
    </xf>
    <xf numFmtId="0" fontId="3" fillId="7" borderId="3" xfId="0" applyFont="1" applyFill="1" applyBorder="1" applyAlignment="1">
      <alignment horizontal="center" vertical="center"/>
    </xf>
    <xf numFmtId="0" fontId="3" fillId="0" borderId="2" xfId="0" applyFont="1" applyBorder="1" applyAlignment="1">
      <alignment horizontal="left" vertical="center"/>
    </xf>
    <xf numFmtId="0" fontId="3" fillId="0" borderId="5" xfId="0" applyFont="1" applyBorder="1" applyAlignment="1">
      <alignment horizontal="left" vertical="center"/>
    </xf>
    <xf numFmtId="0" fontId="3" fillId="0" borderId="4" xfId="0" applyFont="1" applyBorder="1" applyAlignment="1">
      <alignment horizontal="left" vertical="center"/>
    </xf>
    <xf numFmtId="0" fontId="3" fillId="0" borderId="3" xfId="0" applyFont="1" applyBorder="1" applyAlignment="1">
      <alignment horizontal="left" vertical="center"/>
    </xf>
    <xf numFmtId="0" fontId="8" fillId="0" borderId="2" xfId="0" applyFont="1" applyBorder="1" applyAlignment="1">
      <alignment horizontal="center" vertical="center"/>
    </xf>
    <xf numFmtId="0" fontId="8" fillId="2" borderId="2"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4" xfId="0" applyFont="1" applyFill="1" applyBorder="1" applyAlignment="1">
      <alignment horizontal="center" vertical="center"/>
    </xf>
    <xf numFmtId="0" fontId="8" fillId="0" borderId="5" xfId="0" applyFont="1" applyBorder="1" applyAlignment="1">
      <alignment horizontal="center" vertical="center"/>
    </xf>
    <xf numFmtId="0" fontId="8" fillId="0" borderId="3" xfId="0" applyFont="1" applyBorder="1" applyAlignment="1">
      <alignment horizontal="center" vertical="center"/>
    </xf>
    <xf numFmtId="0" fontId="26" fillId="0" borderId="2" xfId="0" applyFont="1" applyBorder="1" applyAlignment="1">
      <alignment horizontal="center" vertical="center"/>
    </xf>
    <xf numFmtId="0" fontId="8" fillId="4" borderId="2" xfId="0" applyFont="1" applyFill="1" applyBorder="1" applyAlignment="1">
      <alignment horizontal="center" vertical="center"/>
    </xf>
    <xf numFmtId="0" fontId="27" fillId="0" borderId="2" xfId="0" applyFont="1" applyBorder="1" applyAlignment="1">
      <alignment horizontal="center" vertical="center"/>
    </xf>
  </cellXfs>
  <cellStyles count="5">
    <cellStyle name="パーセント" xfId="2" builtinId="5"/>
    <cellStyle name="ハイパーリンク" xfId="4" builtinId="8"/>
    <cellStyle name="桁区切り" xfId="1" builtinId="6"/>
    <cellStyle name="標準" xfId="0" builtinId="0"/>
    <cellStyle name="標準 3" xfId="3" xr:uid="{00000000-0005-0000-0000-000004000000}"/>
  </cellStyles>
  <dxfs count="64">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84f9923d68604bf188202e35e2d52865">
      <tp t="s">
        <v/>
        <stp/>
        <stp>Market</stp>
        <stp>STOCK</stp>
        <stp/>
        <stp>安値</stp>
        <tr r="C18" s="3"/>
      </tp>
      <tp t="s">
        <v/>
        <stp/>
        <stp>Market</stp>
        <stp>STOCK</stp>
        <stp/>
        <stp>始値</stp>
        <tr r="C16" s="3"/>
      </tp>
    </main>
    <main first="rtdsrv.84f9923d68604bf188202e35e2d52865">
      <tp t="s">
        <v/>
        <stp/>
        <stp>Market</stp>
        <stp>STOCK</stp>
        <stp/>
        <stp>前日比</stp>
        <tr r="F13" s="3"/>
      </tp>
    </main>
    <main first="rtdsrv.84f9923d68604bf188202e35e2d52865">
      <tp t="s">
        <v/>
        <stp/>
        <stp>Market</stp>
        <stp>STOCK</stp>
        <stp/>
        <stp>市場名称</stp>
        <tr r="E11" s="3"/>
      </tp>
    </main>
    <main first="rtdsrv.84f9923d68604bf188202e35e2d52865">
      <tp t="s">
        <v/>
        <stp/>
        <stp>Market</stp>
        <stp>STOCK</stp>
        <stp>0</stp>
        <stp>PBR</stp>
        <tr r="H15" s="7"/>
      </tp>
      <tp t="s">
        <v/>
        <stp/>
        <stp>Market</stp>
        <stp>STOCK</stp>
        <stp>0</stp>
        <stp>PER</stp>
        <tr r="H16" s="7"/>
      </tp>
      <tp t="s">
        <v/>
        <stp/>
        <stp>Market</stp>
        <stp>STOCK</stp>
        <stp/>
        <stp>出来高加重平均</stp>
        <tr r="H13" s="3"/>
      </tp>
    </main>
    <main first="rtdsrv.84f9923d68604bf188202e35e2d52865">
      <tp t="s">
        <v/>
        <stp/>
        <stp>Market</stp>
        <stp>STOCK</stp>
        <stp>0</stp>
        <stp>現在値時刻</stp>
        <tr r="D13" s="7"/>
      </tp>
      <tp t="s">
        <v/>
        <stp/>
        <stp>Market</stp>
        <stp>STOCK</stp>
        <stp>0</stp>
        <stp>信用貸借区分</stp>
        <tr r="F11" s="7"/>
      </tp>
    </main>
    <main first="rtdsrv.84f9923d68604bf188202e35e2d52865">
      <tp t="s">
        <v/>
        <stp/>
        <stp>Market</stp>
        <stp>STOCK</stp>
        <stp/>
        <stp>安値時刻</stp>
        <tr r="D18" s="3"/>
      </tp>
      <tp t="s">
        <v/>
        <stp/>
        <stp>Market</stp>
        <stp>STOCK</stp>
        <stp/>
        <stp>始値時刻</stp>
        <tr r="D16" s="3"/>
      </tp>
      <tp t="s">
        <v/>
        <stp/>
        <stp>Market</stp>
        <stp>STOCK</stp>
        <stp/>
        <stp>高値時刻</stp>
        <tr r="D17" s="3"/>
      </tp>
    </main>
    <main first="rtdsrv.84f9923d68604bf188202e35e2d52865">
      <tp t="s">
        <v/>
        <stp/>
        <stp>Chart</stp>
        <stp>2124633968656,48,48,1,1</stp>
        <stp>0</stp>
        <stp>5M</stp>
        <stp>90</stp>
        <tr r="B49" s="7"/>
      </tp>
    </main>
    <main first="rtdsrv.84f9923d68604bf188202e35e2d52865">
      <tp t="s">
        <v/>
        <stp/>
        <stp>TrendSMA</stp>
        <stp>2124633968656,48,48,10,10</stp>
        <stp>0</stp>
        <stp>5M</stp>
        <stp>90</stp>
        <stp>5</stp>
        <stp>25</stp>
        <stp>0</stp>
        <stp>0</stp>
        <stp>0</stp>
        <stp>0</stp>
        <stp>0</stp>
        <tr r="K49" s="7"/>
      </tp>
      <tp t="s">
        <v/>
        <stp/>
        <stp>Market</stp>
        <stp>STOCK</stp>
        <stp>0</stp>
        <stp>市場名称</stp>
        <tr r="E11" s="7"/>
      </tp>
      <tp t="s">
        <v/>
        <stp/>
        <stp>Market</stp>
        <stp>STOCK</stp>
        <stp/>
        <stp>信用貸借区分</stp>
        <tr r="F11" s="3"/>
      </tp>
      <tp t="s">
        <v/>
        <stp/>
        <stp>MarginPositionList</stp>
        <stp>2124633963248,0,0,0,0</stp>
        <stp/>
        <stp>A</stp>
        <stp>0</stp>
        <stp>0</stp>
        <stp>0</stp>
        <tr r="A1" s="6"/>
      </tp>
      <tp t="s">
        <v/>
        <stp/>
        <stp>Chart</stp>
        <stp>2125832587472,48,48,1,1</stp>
        <stp/>
        <stp>5M</stp>
        <stp>90</stp>
        <tr r="B49" s="3"/>
      </tp>
      <tp t="s">
        <v/>
        <stp/>
        <stp>Market</stp>
        <stp>STOCK</stp>
        <stp>0</stp>
        <stp>前日比</stp>
        <tr r="F13" s="7"/>
      </tp>
    </main>
    <main first="rtdsrv.84f9923d68604bf188202e35e2d52865">
      <tp t="s">
        <v/>
        <stp/>
        <stp>FOPCapacityList</stp>
        <stp>2125832584768,5,5,13,13</stp>
        <tr r="N6" s="2"/>
      </tp>
    </main>
    <main first="rtdsrv.84f9923d68604bf188202e35e2d52865">
      <tp t="s">
        <v/>
        <stp/>
        <stp>Market</stp>
        <stp>STOCK</stp>
        <stp>0</stp>
        <stp>始値</stp>
        <tr r="C16" s="7"/>
      </tp>
      <tp t="s">
        <v/>
        <stp/>
        <stp>TrendSMA</stp>
        <stp>2125832587472,48,48,10,10</stp>
        <stp/>
        <stp>5M</stp>
        <stp>90</stp>
        <stp>5</stp>
        <stp>25</stp>
        <stp>0</stp>
        <stp>0</stp>
        <stp>0</stp>
        <stp>0</stp>
        <stp>0</stp>
        <tr r="K49" s="3"/>
      </tp>
      <tp t="s">
        <v/>
        <stp/>
        <stp>Market</stp>
        <stp>STOCK</stp>
        <stp>0</stp>
        <stp>安値</stp>
        <tr r="C18" s="7"/>
      </tp>
    </main>
    <main first="rtdsrv.84f9923d68604bf188202e35e2d52865">
      <tp t="s">
        <v/>
        <stp/>
        <stp>Market</stp>
        <stp>STOCK</stp>
        <stp/>
        <stp>現在値時刻</stp>
        <tr r="D13" s="3"/>
      </tp>
      <tp t="s">
        <v/>
        <stp/>
        <stp>CapacityList</stp>
        <stp>2125832587472,4,4,17,17</stp>
        <tr r="R5" s="3"/>
      </tp>
      <tp t="s">
        <v/>
        <stp/>
        <stp>OrderIDList</stp>
        <stp>2125832590176,4,4,0,0</stp>
        <tr r="A5" s="5"/>
      </tp>
      <tp t="s">
        <v/>
        <stp/>
        <stp>Market</stp>
        <stp>STOCK</stp>
        <stp>0</stp>
        <stp>始値時刻</stp>
        <tr r="D16" s="7"/>
      </tp>
      <tp t="s">
        <v/>
        <stp/>
        <stp>Market</stp>
        <stp>STOCK</stp>
        <stp>0</stp>
        <stp>安値時刻</stp>
        <tr r="D18" s="7"/>
      </tp>
      <tp t="s">
        <v/>
        <stp/>
        <stp>Market</stp>
        <stp>STOCK</stp>
        <stp>0</stp>
        <stp>高値時刻</stp>
        <tr r="D17" s="7"/>
      </tp>
      <tp t="s">
        <v/>
        <stp/>
        <stp>CapacityList</stp>
        <stp>2125832582064,5,5,15,15</stp>
        <tr r="P6" s="1"/>
      </tp>
    </main>
    <main first="rtdsrv.84f9923d68604bf188202e35e2d52865">
      <tp t="s">
        <v/>
        <stp/>
        <stp>Market</stp>
        <stp>STOCK</stp>
        <stp/>
        <stp>PER</stp>
        <tr r="H16" s="3"/>
      </tp>
      <tp t="s">
        <v/>
        <stp/>
        <stp>Market</stp>
        <stp>STOCK</stp>
        <stp/>
        <stp>PBR</stp>
        <tr r="H15" s="3"/>
      </tp>
      <tp t="s">
        <v/>
        <stp/>
        <stp>CapacityList</stp>
        <stp>2124633968656,4,4,17,17</stp>
        <tr r="R5" s="7"/>
      </tp>
    </main>
    <main first="rtdsrv.84f9923d68604bf188202e35e2d52865">
      <tp t="s">
        <v/>
        <stp/>
        <stp>Market</stp>
        <stp>STOCK</stp>
        <stp>0</stp>
        <stp>出来高加重平均</stp>
        <tr r="H13" s="7"/>
      </tp>
    </main>
    <main first="rtdsrv.84f9923d68604bf188202e35e2d52865">
      <tp t="s">
        <v/>
        <stp/>
        <stp>Market</stp>
        <stp>STOCK</stp>
        <stp/>
        <stp>売買代金</stp>
        <tr r="F18" s="3"/>
      </tp>
    </main>
    <main first="rtdsrv.84f9923d68604bf188202e35e2d52865">
      <tp t="s">
        <v/>
        <stp/>
        <stp>Market</stp>
        <stp>STOCK</stp>
        <stp/>
        <stp>現在値</stp>
        <tr r="C13" s="3"/>
      </tp>
      <tp t="s">
        <v/>
        <stp/>
        <stp>Market</stp>
        <stp>STOCK</stp>
        <stp/>
        <stp>最良売気配時刻</stp>
        <tr r="D14" s="3"/>
      </tp>
      <tp t="s">
        <v/>
        <stp/>
        <stp>Market</stp>
        <stp>STOCK</stp>
        <stp/>
        <stp>最良買気配時刻</stp>
        <tr r="D15" s="3"/>
      </tp>
      <tp t="s">
        <v/>
        <stp/>
        <stp>Market</stp>
        <stp>STOCK</stp>
        <stp/>
        <stp>時価総額</stp>
        <tr r="H14" s="3"/>
      </tp>
      <tp t="s">
        <v/>
        <stp/>
        <stp>Market</stp>
        <stp>STOCK</stp>
        <stp/>
        <stp>出来高</stp>
        <tr r="F17" s="3"/>
      </tp>
    </main>
    <main first="rtdsrv.84f9923d68604bf188202e35e2d52865">
      <tp t="s">
        <v/>
        <stp/>
        <stp>Market</stp>
        <stp>STOCK</stp>
        <stp>0</stp>
        <stp>高値</stp>
        <tr r="C17" s="7"/>
      </tp>
      <tp t="s">
        <v/>
        <stp/>
        <stp>Market</stp>
        <stp>STOCK</stp>
        <stp>0</stp>
        <stp>前日比率</stp>
        <tr r="F14" s="7"/>
      </tp>
    </main>
    <main first="rtdsrv.84f9923d68604bf188202e35e2d52865">
      <tp t="s">
        <v/>
        <stp/>
        <stp>Market</stp>
        <stp>STOCK</stp>
        <stp>0</stp>
        <stp>前日日付</stp>
        <tr r="F16" s="7"/>
      </tp>
    </main>
    <main first="rtdsrv.84f9923d68604bf188202e35e2d52865">
      <tp t="s">
        <v/>
        <stp/>
        <stp>Market</stp>
        <stp>STOCK</stp>
        <stp/>
        <stp>最良売気配値</stp>
        <tr r="C14" s="3"/>
      </tp>
      <tp t="s">
        <v/>
        <stp/>
        <stp>Market</stp>
        <stp>STOCK</stp>
        <stp/>
        <stp>最良買気配値</stp>
        <tr r="C15" s="3"/>
      </tp>
      <tp t="s">
        <v/>
        <stp/>
        <stp>Market</stp>
        <stp>STOCK</stp>
        <stp>0</stp>
        <stp>前日終値</stp>
        <tr r="F15" s="7"/>
      </tp>
    </main>
    <main first="rtdsrv.84f9923d68604bf188202e35e2d52865">
      <tp t="s">
        <v/>
        <stp/>
        <stp>Market</stp>
        <stp>STOCK</stp>
        <stp>0</stp>
        <stp>銘柄名称</stp>
        <tr r="P23" s="3"/>
        <tr r="P23" s="7"/>
        <tr r="C11" s="7"/>
      </tp>
    </main>
    <main first="rtdsrv.84f9923d68604bf188202e35e2d52865">
      <tp t="s">
        <v/>
        <stp/>
        <stp>Market</stp>
        <stp>STOCK</stp>
        <stp>0</stp>
        <stp>売買代金</stp>
        <tr r="F18" s="7"/>
      </tp>
      <tp t="s">
        <v/>
        <stp/>
        <stp>Market</stp>
        <stp>STOCK</stp>
        <stp/>
        <stp>高値</stp>
        <tr r="C17" s="3"/>
      </tp>
      <tp t="s">
        <v/>
        <stp/>
        <stp>Market</stp>
        <stp>STOCK</stp>
        <stp>0</stp>
        <stp>最良売気配時刻</stp>
        <tr r="D14" s="7"/>
      </tp>
      <tp t="s">
        <v/>
        <stp/>
        <stp>Market</stp>
        <stp>STOCK</stp>
        <stp>0</stp>
        <stp>現在値</stp>
        <tr r="C13" s="7"/>
      </tp>
      <tp t="s">
        <v/>
        <stp/>
        <stp>Market</stp>
        <stp>STOCK</stp>
        <stp>0</stp>
        <stp>最良買気配時刻</stp>
        <tr r="D15" s="7"/>
      </tp>
      <tp t="s">
        <v/>
        <stp/>
        <stp>Market</stp>
        <stp>STOCK</stp>
        <stp>0</stp>
        <stp>最良売気配値</stp>
        <tr r="C14" s="7"/>
      </tp>
      <tp t="s">
        <v/>
        <stp/>
        <stp>Market</stp>
        <stp>STOCK</stp>
        <stp>0</stp>
        <stp>最良買気配値</stp>
        <tr r="C15" s="7"/>
      </tp>
    </main>
    <main first="rtdsrv.84f9923d68604bf188202e35e2d52865">
      <tp t="s">
        <v/>
        <stp/>
        <stp>Market</stp>
        <stp>STOCK</stp>
        <stp>0</stp>
        <stp>出来高</stp>
        <tr r="F17" s="7"/>
      </tp>
      <tp t="s">
        <v/>
        <stp/>
        <stp>Market</stp>
        <stp>STOCK</stp>
        <stp/>
        <stp>前日終値</stp>
        <tr r="F15" s="3"/>
      </tp>
    </main>
    <main first="rtdsrv.84f9923d68604bf188202e35e2d52865">
      <tp t="s">
        <v/>
        <stp/>
        <stp>Market</stp>
        <stp>STOCK</stp>
        <stp/>
        <stp>銘柄名称</stp>
        <tr r="C11" s="3"/>
      </tp>
    </main>
    <main first="rtdsrv.84f9923d68604bf188202e35e2d52865">
      <tp t="s">
        <v/>
        <stp/>
        <stp>Market</stp>
        <stp>STOCK</stp>
        <stp/>
        <stp>前日比率</stp>
        <tr r="F14" s="3"/>
      </tp>
    </main>
    <main first="rtdsrv.84f9923d68604bf188202e35e2d52865">
      <tp t="s">
        <v/>
        <stp/>
        <stp>Market</stp>
        <stp>STOCK</stp>
        <stp>0</stp>
        <stp>時価総額</stp>
        <tr r="H14" s="7"/>
      </tp>
    </main>
    <main first="rtdsrv.84f9923d68604bf188202e35e2d52865">
      <tp t="s">
        <v/>
        <stp/>
        <stp>Market</stp>
        <stp>STOCK</stp>
        <stp/>
        <stp>前日日付</stp>
        <tr r="F16" s="3"/>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トリガー発注!$G$50</c:f>
              <c:strCache>
                <c:ptCount val="1"/>
                <c:pt idx="0">
                  <c:v>始値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1-8FF7-4A64-B35F-1D0F2BA77298}"/>
            </c:ext>
          </c:extLst>
        </c:ser>
        <c:ser>
          <c:idx val="2"/>
          <c:order val="1"/>
          <c:tx>
            <c:strRef>
              <c:f>トリガー発注!$H$50</c:f>
              <c:strCache>
                <c:ptCount val="1"/>
                <c:pt idx="0">
                  <c:v>高値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2-8FF7-4A64-B35F-1D0F2BA77298}"/>
            </c:ext>
          </c:extLst>
        </c:ser>
        <c:ser>
          <c:idx val="3"/>
          <c:order val="2"/>
          <c:tx>
            <c:strRef>
              <c:f>トリガー発注!$I$50</c:f>
              <c:strCache>
                <c:ptCount val="1"/>
                <c:pt idx="0">
                  <c:v>安値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3-8FF7-4A64-B35F-1D0F2BA77298}"/>
            </c:ext>
          </c:extLst>
        </c:ser>
        <c:ser>
          <c:idx val="4"/>
          <c:order val="3"/>
          <c:tx>
            <c:strRef>
              <c:f>トリガー発注!$J$50</c:f>
              <c:strCache>
                <c:ptCount val="1"/>
                <c:pt idx="0">
                  <c:v>終値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4-8FF7-4A64-B35F-1D0F2BA77298}"/>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0-9C78-4F70-AA9E-6BC238F8A4AD}"/>
            </c:ext>
          </c:extLst>
        </c:ser>
        <c:ser>
          <c:idx val="5"/>
          <c:order val="5"/>
          <c:tx>
            <c:strRef>
              <c:f>トリガー発注!$L$50</c:f>
              <c:strCache>
                <c:ptCount val="1"/>
                <c:pt idx="0">
                  <c:v>移動平均2</c:v>
                </c:pt>
              </c:strCache>
            </c:strRef>
          </c:tx>
          <c:spPr>
            <a:ln w="25400" cap="rnd">
              <a:solidFill>
                <a:schemeClr val="accent1"/>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1-9C78-4F70-AA9E-6BC238F8A4AD}"/>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トリガー発注!$F$50</c:f>
              <c:strCache>
                <c:ptCount val="1"/>
                <c:pt idx="0">
                  <c:v>出来高</c:v>
                </c:pt>
              </c:strCache>
            </c:strRef>
          </c:tx>
          <c:spPr>
            <a:solidFill>
              <a:schemeClr val="accent1"/>
            </a:solidFill>
            <a:ln>
              <a:noFill/>
            </a:ln>
            <a:effectLst/>
          </c:spPr>
          <c:invertIfNegative val="0"/>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5E84-4B90-827A-4DD306C87CEE}"/>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 (2)'!$G$50</c:f>
              <c:strCache>
                <c:ptCount val="1"/>
                <c:pt idx="0">
                  <c:v>始値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0-C1CA-40A5-8886-AD3CD284C7E6}"/>
            </c:ext>
          </c:extLst>
        </c:ser>
        <c:ser>
          <c:idx val="2"/>
          <c:order val="1"/>
          <c:tx>
            <c:strRef>
              <c:f>'トリガー発注 (2)'!$H$50</c:f>
              <c:strCache>
                <c:ptCount val="1"/>
                <c:pt idx="0">
                  <c:v>高値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1-C1CA-40A5-8886-AD3CD284C7E6}"/>
            </c:ext>
          </c:extLst>
        </c:ser>
        <c:ser>
          <c:idx val="3"/>
          <c:order val="2"/>
          <c:tx>
            <c:strRef>
              <c:f>'トリガー発注 (2)'!$I$50</c:f>
              <c:strCache>
                <c:ptCount val="1"/>
                <c:pt idx="0">
                  <c:v>安値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2-C1CA-40A5-8886-AD3CD284C7E6}"/>
            </c:ext>
          </c:extLst>
        </c:ser>
        <c:ser>
          <c:idx val="4"/>
          <c:order val="3"/>
          <c:tx>
            <c:strRef>
              <c:f>'トリガー発注 (2)'!$J$50</c:f>
              <c:strCache>
                <c:ptCount val="1"/>
                <c:pt idx="0">
                  <c:v>終値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3-C1CA-40A5-8886-AD3CD284C7E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 (2)'!$K$50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4-C1CA-40A5-8886-AD3CD284C7E6}"/>
            </c:ext>
          </c:extLst>
        </c:ser>
        <c:ser>
          <c:idx val="5"/>
          <c:order val="5"/>
          <c:tx>
            <c:strRef>
              <c:f>'トリガー発注 (2)'!$L$50</c:f>
              <c:strCache>
                <c:ptCount val="1"/>
                <c:pt idx="0">
                  <c:v>移動平均2</c:v>
                </c:pt>
              </c:strCache>
            </c:strRef>
          </c:tx>
          <c:spPr>
            <a:ln w="25400" cap="rnd">
              <a:solidFill>
                <a:schemeClr val="accent1"/>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5-C1CA-40A5-8886-AD3CD284C7E6}"/>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 (2)'!$F$50</c:f>
              <c:strCache>
                <c:ptCount val="1"/>
                <c:pt idx="0">
                  <c:v>出来高</c:v>
                </c:pt>
              </c:strCache>
            </c:strRef>
          </c:tx>
          <c:spPr>
            <a:solidFill>
              <a:schemeClr val="accent1"/>
            </a:solidFill>
            <a:ln>
              <a:noFill/>
            </a:ln>
            <a:effectLst/>
          </c:spPr>
          <c:invertIfNegative val="0"/>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4F25-4E8B-8DB5-6EA9B6DAB9FF}"/>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100853</xdr:colOff>
      <xdr:row>39</xdr:row>
      <xdr:rowOff>22412</xdr:rowOff>
    </xdr:from>
    <xdr:to>
      <xdr:col>10</xdr:col>
      <xdr:colOff>266380</xdr:colOff>
      <xdr:row>41</xdr:row>
      <xdr:rowOff>26255</xdr:rowOff>
    </xdr:to>
    <xdr:sp macro="[0]!CommandButton41_Click" textlink="">
      <xdr:nvSpPr>
        <xdr:cNvPr id="5" name="四角形: 角を丸くする 4">
          <a:extLst>
            <a:ext uri="{FF2B5EF4-FFF2-40B4-BE49-F238E27FC236}">
              <a16:creationId xmlns:a16="http://schemas.microsoft.com/office/drawing/2014/main" id="{D3243C96-A52F-4151-A984-283DE7E55379}"/>
            </a:ext>
          </a:extLst>
        </xdr:cNvPr>
        <xdr:cNvSpPr/>
      </xdr:nvSpPr>
      <xdr:spPr>
        <a:xfrm>
          <a:off x="1008529" y="9188824"/>
          <a:ext cx="2283439"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3</xdr:col>
      <xdr:colOff>89646</xdr:colOff>
      <xdr:row>41</xdr:row>
      <xdr:rowOff>81699</xdr:rowOff>
    </xdr:from>
    <xdr:to>
      <xdr:col>10</xdr:col>
      <xdr:colOff>280147</xdr:colOff>
      <xdr:row>43</xdr:row>
      <xdr:rowOff>88806</xdr:rowOff>
    </xdr:to>
    <xdr:sp macro="[0]!CommandButton42_Click" textlink="">
      <xdr:nvSpPr>
        <xdr:cNvPr id="6" name="四角形: 角を丸くする 5">
          <a:extLst>
            <a:ext uri="{FF2B5EF4-FFF2-40B4-BE49-F238E27FC236}">
              <a16:creationId xmlns:a16="http://schemas.microsoft.com/office/drawing/2014/main" id="{8A19CBF2-CB10-4EAB-988D-ADA321E46ED1}"/>
            </a:ext>
          </a:extLst>
        </xdr:cNvPr>
        <xdr:cNvSpPr/>
      </xdr:nvSpPr>
      <xdr:spPr>
        <a:xfrm>
          <a:off x="997322" y="9673934"/>
          <a:ext cx="2308413"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3</xdr:col>
      <xdr:colOff>89648</xdr:colOff>
      <xdr:row>43</xdr:row>
      <xdr:rowOff>145676</xdr:rowOff>
    </xdr:from>
    <xdr:to>
      <xdr:col>10</xdr:col>
      <xdr:colOff>273425</xdr:colOff>
      <xdr:row>45</xdr:row>
      <xdr:rowOff>152783</xdr:rowOff>
    </xdr:to>
    <xdr:sp macro="[0]!CommandButton62_Click" textlink="">
      <xdr:nvSpPr>
        <xdr:cNvPr id="7" name="四角形: 角を丸くする 6">
          <a:extLst>
            <a:ext uri="{FF2B5EF4-FFF2-40B4-BE49-F238E27FC236}">
              <a16:creationId xmlns:a16="http://schemas.microsoft.com/office/drawing/2014/main" id="{F50D8E7C-DED4-4DFD-9F0F-D80B6B02AF02}"/>
            </a:ext>
          </a:extLst>
        </xdr:cNvPr>
        <xdr:cNvSpPr/>
      </xdr:nvSpPr>
      <xdr:spPr>
        <a:xfrm>
          <a:off x="997324" y="10163735"/>
          <a:ext cx="2301689" cy="432930"/>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50746</xdr:colOff>
      <xdr:row>8</xdr:row>
      <xdr:rowOff>169208</xdr:rowOff>
    </xdr:from>
    <xdr:to>
      <xdr:col>1</xdr:col>
      <xdr:colOff>19528</xdr:colOff>
      <xdr:row>10</xdr:row>
      <xdr:rowOff>14055</xdr:rowOff>
    </xdr:to>
    <xdr:sp macro="" textlink="">
      <xdr:nvSpPr>
        <xdr:cNvPr id="5" name="楕円 4">
          <a:extLst>
            <a:ext uri="{FF2B5EF4-FFF2-40B4-BE49-F238E27FC236}">
              <a16:creationId xmlns:a16="http://schemas.microsoft.com/office/drawing/2014/main" id="{959221CD-1D8F-4B0C-9E5A-32568E440C44}"/>
            </a:ext>
          </a:extLst>
        </xdr:cNvPr>
        <xdr:cNvSpPr/>
      </xdr:nvSpPr>
      <xdr:spPr>
        <a:xfrm>
          <a:off x="50746" y="2312333"/>
          <a:ext cx="664107" cy="32109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598393</xdr:colOff>
      <xdr:row>5</xdr:row>
      <xdr:rowOff>199465</xdr:rowOff>
    </xdr:from>
    <xdr:to>
      <xdr:col>9</xdr:col>
      <xdr:colOff>57949</xdr:colOff>
      <xdr:row>8</xdr:row>
      <xdr:rowOff>24014</xdr:rowOff>
    </xdr:to>
    <xdr:sp macro="[0]!CommandButton41_Click" textlink="">
      <xdr:nvSpPr>
        <xdr:cNvPr id="7" name="四角形: 角を丸くする 6">
          <a:extLst>
            <a:ext uri="{FF2B5EF4-FFF2-40B4-BE49-F238E27FC236}">
              <a16:creationId xmlns:a16="http://schemas.microsoft.com/office/drawing/2014/main" id="{0606E0C2-F1ED-4852-A8BB-F176ED296DFA}"/>
            </a:ext>
          </a:extLst>
        </xdr:cNvPr>
        <xdr:cNvSpPr/>
      </xdr:nvSpPr>
      <xdr:spPr>
        <a:xfrm>
          <a:off x="3792069" y="1320053"/>
          <a:ext cx="2283439" cy="429667"/>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9</xdr:col>
      <xdr:colOff>463920</xdr:colOff>
      <xdr:row>6</xdr:row>
      <xdr:rowOff>1015</xdr:rowOff>
    </xdr:from>
    <xdr:to>
      <xdr:col>13</xdr:col>
      <xdr:colOff>275023</xdr:colOff>
      <xdr:row>8</xdr:row>
      <xdr:rowOff>30535</xdr:rowOff>
    </xdr:to>
    <xdr:sp macro="[0]!CommandButton42_Click" textlink="">
      <xdr:nvSpPr>
        <xdr:cNvPr id="8" name="四角形: 角を丸くする 7">
          <a:extLst>
            <a:ext uri="{FF2B5EF4-FFF2-40B4-BE49-F238E27FC236}">
              <a16:creationId xmlns:a16="http://schemas.microsoft.com/office/drawing/2014/main" id="{3C4DF41C-5267-4F27-8B7E-27CEC7D97F17}"/>
            </a:ext>
          </a:extLst>
        </xdr:cNvPr>
        <xdr:cNvSpPr/>
      </xdr:nvSpPr>
      <xdr:spPr>
        <a:xfrm>
          <a:off x="6481479" y="1323309"/>
          <a:ext cx="2377250" cy="432932"/>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374895</xdr:colOff>
      <xdr:row>5</xdr:row>
      <xdr:rowOff>91965</xdr:rowOff>
    </xdr:from>
    <xdr:to>
      <xdr:col>5</xdr:col>
      <xdr:colOff>647701</xdr:colOff>
      <xdr:row>6</xdr:row>
      <xdr:rowOff>144517</xdr:rowOff>
    </xdr:to>
    <xdr:sp macro="" textlink="">
      <xdr:nvSpPr>
        <xdr:cNvPr id="4" name="楕円 3">
          <a:extLst>
            <a:ext uri="{FF2B5EF4-FFF2-40B4-BE49-F238E27FC236}">
              <a16:creationId xmlns:a16="http://schemas.microsoft.com/office/drawing/2014/main" id="{CF0129D3-CA57-44E8-8D6D-722568EE3FE9}"/>
            </a:ext>
          </a:extLst>
        </xdr:cNvPr>
        <xdr:cNvSpPr/>
      </xdr:nvSpPr>
      <xdr:spPr>
        <a:xfrm>
          <a:off x="3565770" y="1454040"/>
          <a:ext cx="272806" cy="25257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9</xdr:col>
      <xdr:colOff>238005</xdr:colOff>
      <xdr:row>5</xdr:row>
      <xdr:rowOff>86447</xdr:rowOff>
    </xdr:from>
    <xdr:to>
      <xdr:col>9</xdr:col>
      <xdr:colOff>512548</xdr:colOff>
      <xdr:row>6</xdr:row>
      <xdr:rowOff>144207</xdr:rowOff>
    </xdr:to>
    <xdr:sp macro="" textlink="">
      <xdr:nvSpPr>
        <xdr:cNvPr id="6" name="楕円 5">
          <a:extLst>
            <a:ext uri="{FF2B5EF4-FFF2-40B4-BE49-F238E27FC236}">
              <a16:creationId xmlns:a16="http://schemas.microsoft.com/office/drawing/2014/main" id="{8778BE77-650A-4A2D-9343-E02C3D9432CB}"/>
            </a:ext>
          </a:extLst>
        </xdr:cNvPr>
        <xdr:cNvSpPr/>
      </xdr:nvSpPr>
      <xdr:spPr>
        <a:xfrm>
          <a:off x="6255564" y="1207035"/>
          <a:ext cx="274543" cy="25946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33618</xdr:colOff>
      <xdr:row>8</xdr:row>
      <xdr:rowOff>158003</xdr:rowOff>
    </xdr:from>
    <xdr:to>
      <xdr:col>1</xdr:col>
      <xdr:colOff>2400</xdr:colOff>
      <xdr:row>10</xdr:row>
      <xdr:rowOff>2849</xdr:rowOff>
    </xdr:to>
    <xdr:sp macro="" textlink="">
      <xdr:nvSpPr>
        <xdr:cNvPr id="5" name="楕円 4">
          <a:extLst>
            <a:ext uri="{FF2B5EF4-FFF2-40B4-BE49-F238E27FC236}">
              <a16:creationId xmlns:a16="http://schemas.microsoft.com/office/drawing/2014/main" id="{844BEA25-AFC7-4809-9DAF-D3F97ABCE3D3}"/>
            </a:ext>
          </a:extLst>
        </xdr:cNvPr>
        <xdr:cNvSpPr/>
      </xdr:nvSpPr>
      <xdr:spPr>
        <a:xfrm>
          <a:off x="33618" y="2301128"/>
          <a:ext cx="654582" cy="3210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284629</xdr:colOff>
      <xdr:row>6</xdr:row>
      <xdr:rowOff>0</xdr:rowOff>
    </xdr:from>
    <xdr:to>
      <xdr:col>8</xdr:col>
      <xdr:colOff>497219</xdr:colOff>
      <xdr:row>8</xdr:row>
      <xdr:rowOff>26254</xdr:rowOff>
    </xdr:to>
    <xdr:sp macro="[0]!CommandButton51_Click" textlink="">
      <xdr:nvSpPr>
        <xdr:cNvPr id="7" name="四角形: 角を丸くする 6">
          <a:extLst>
            <a:ext uri="{FF2B5EF4-FFF2-40B4-BE49-F238E27FC236}">
              <a16:creationId xmlns:a16="http://schemas.microsoft.com/office/drawing/2014/main" id="{AD652F93-D3CD-472C-9B29-0D5563636C86}"/>
            </a:ext>
          </a:extLst>
        </xdr:cNvPr>
        <xdr:cNvSpPr/>
      </xdr:nvSpPr>
      <xdr:spPr>
        <a:xfrm>
          <a:off x="3332629" y="1546412"/>
          <a:ext cx="2330502"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8</xdr:col>
      <xdr:colOff>858367</xdr:colOff>
      <xdr:row>6</xdr:row>
      <xdr:rowOff>3256</xdr:rowOff>
    </xdr:from>
    <xdr:to>
      <xdr:col>12</xdr:col>
      <xdr:colOff>26253</xdr:colOff>
      <xdr:row>8</xdr:row>
      <xdr:rowOff>32775</xdr:rowOff>
    </xdr:to>
    <xdr:sp macro="[0]!CommandButton52_Click" textlink="">
      <xdr:nvSpPr>
        <xdr:cNvPr id="8" name="四角形: 角を丸くする 7">
          <a:extLst>
            <a:ext uri="{FF2B5EF4-FFF2-40B4-BE49-F238E27FC236}">
              <a16:creationId xmlns:a16="http://schemas.microsoft.com/office/drawing/2014/main" id="{38F1B65F-1BA0-431D-98B3-87853E59DF6C}"/>
            </a:ext>
          </a:extLst>
        </xdr:cNvPr>
        <xdr:cNvSpPr/>
      </xdr:nvSpPr>
      <xdr:spPr>
        <a:xfrm>
          <a:off x="6024279" y="1549668"/>
          <a:ext cx="2383974"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106138</xdr:colOff>
      <xdr:row>5</xdr:row>
      <xdr:rowOff>78440</xdr:rowOff>
    </xdr:from>
    <xdr:to>
      <xdr:col>5</xdr:col>
      <xdr:colOff>377478</xdr:colOff>
      <xdr:row>6</xdr:row>
      <xdr:rowOff>128994</xdr:rowOff>
    </xdr:to>
    <xdr:sp macro="" textlink="">
      <xdr:nvSpPr>
        <xdr:cNvPr id="4" name="楕円 3">
          <a:extLst>
            <a:ext uri="{FF2B5EF4-FFF2-40B4-BE49-F238E27FC236}">
              <a16:creationId xmlns:a16="http://schemas.microsoft.com/office/drawing/2014/main" id="{0AC293C4-5F2D-43EE-8B82-1E4B2D466C42}"/>
            </a:ext>
          </a:extLst>
        </xdr:cNvPr>
        <xdr:cNvSpPr/>
      </xdr:nvSpPr>
      <xdr:spPr>
        <a:xfrm>
          <a:off x="3154138" y="1423146"/>
          <a:ext cx="271340" cy="252260"/>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8</xdr:col>
      <xdr:colOff>664670</xdr:colOff>
      <xdr:row>5</xdr:row>
      <xdr:rowOff>79881</xdr:rowOff>
    </xdr:from>
    <xdr:to>
      <xdr:col>9</xdr:col>
      <xdr:colOff>53948</xdr:colOff>
      <xdr:row>6</xdr:row>
      <xdr:rowOff>137640</xdr:rowOff>
    </xdr:to>
    <xdr:sp macro="" textlink="">
      <xdr:nvSpPr>
        <xdr:cNvPr id="6" name="楕円 5">
          <a:extLst>
            <a:ext uri="{FF2B5EF4-FFF2-40B4-BE49-F238E27FC236}">
              <a16:creationId xmlns:a16="http://schemas.microsoft.com/office/drawing/2014/main" id="{E755D908-FE44-47D7-B688-12F5C8319566}"/>
            </a:ext>
          </a:extLst>
        </xdr:cNvPr>
        <xdr:cNvSpPr/>
      </xdr:nvSpPr>
      <xdr:spPr>
        <a:xfrm>
          <a:off x="5830582" y="1424587"/>
          <a:ext cx="274542"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3" name="グラフ 2">
          <a:extLst>
            <a:ext uri="{FF2B5EF4-FFF2-40B4-BE49-F238E27FC236}">
              <a16:creationId xmlns:a16="http://schemas.microsoft.com/office/drawing/2014/main" id="{3F69F097-2ED2-449D-BAE9-DAB8D92B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4" name="楕円 3">
          <a:extLst>
            <a:ext uri="{FF2B5EF4-FFF2-40B4-BE49-F238E27FC236}">
              <a16:creationId xmlns:a16="http://schemas.microsoft.com/office/drawing/2014/main" id="{B867D792-3861-4469-820B-93FA00B64CFA}"/>
            </a:ext>
          </a:extLst>
        </xdr:cNvPr>
        <xdr:cNvSpPr/>
      </xdr:nvSpPr>
      <xdr:spPr>
        <a:xfrm>
          <a:off x="6675664" y="3150052"/>
          <a:ext cx="205546"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5" name="楕円 4">
          <a:extLst>
            <a:ext uri="{FF2B5EF4-FFF2-40B4-BE49-F238E27FC236}">
              <a16:creationId xmlns:a16="http://schemas.microsoft.com/office/drawing/2014/main" id="{B7FD0DB1-4FBE-4718-9AF6-CF1222EC7294}"/>
            </a:ext>
          </a:extLst>
        </xdr:cNvPr>
        <xdr:cNvSpPr/>
      </xdr:nvSpPr>
      <xdr:spPr>
        <a:xfrm>
          <a:off x="6647889" y="3769500"/>
          <a:ext cx="269641" cy="248509"/>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7" name="楕円 6">
          <a:extLst>
            <a:ext uri="{FF2B5EF4-FFF2-40B4-BE49-F238E27FC236}">
              <a16:creationId xmlns:a16="http://schemas.microsoft.com/office/drawing/2014/main" id="{57364CFC-DCD6-442F-A97B-E0D01ECF3BDA}"/>
            </a:ext>
          </a:extLst>
        </xdr:cNvPr>
        <xdr:cNvSpPr/>
      </xdr:nvSpPr>
      <xdr:spPr>
        <a:xfrm>
          <a:off x="9604483" y="5529063"/>
          <a:ext cx="108935"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8" name="楕円 7">
          <a:extLst>
            <a:ext uri="{FF2B5EF4-FFF2-40B4-BE49-F238E27FC236}">
              <a16:creationId xmlns:a16="http://schemas.microsoft.com/office/drawing/2014/main" id="{DC7EECF5-C301-4F06-B476-AABDA1FAAB75}"/>
            </a:ext>
          </a:extLst>
        </xdr:cNvPr>
        <xdr:cNvSpPr/>
      </xdr:nvSpPr>
      <xdr:spPr>
        <a:xfrm>
          <a:off x="11391101" y="2939623"/>
          <a:ext cx="273581"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11" name="四角形: 角を丸くする 10">
          <a:extLst>
            <a:ext uri="{FF2B5EF4-FFF2-40B4-BE49-F238E27FC236}">
              <a16:creationId xmlns:a16="http://schemas.microsoft.com/office/drawing/2014/main" id="{17F7468D-45C9-49EE-A607-7B80F64259E7}"/>
            </a:ext>
          </a:extLst>
        </xdr:cNvPr>
        <xdr:cNvSpPr/>
      </xdr:nvSpPr>
      <xdr:spPr>
        <a:xfrm>
          <a:off x="11028830" y="2882153"/>
          <a:ext cx="2254301" cy="431908"/>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12" name="四角形: 角を丸くする 11">
          <a:extLst>
            <a:ext uri="{FF2B5EF4-FFF2-40B4-BE49-F238E27FC236}">
              <a16:creationId xmlns:a16="http://schemas.microsoft.com/office/drawing/2014/main" id="{7682868C-3CCD-4F17-A42B-72F613DCF3D6}"/>
            </a:ext>
          </a:extLst>
        </xdr:cNvPr>
        <xdr:cNvSpPr/>
      </xdr:nvSpPr>
      <xdr:spPr>
        <a:xfrm>
          <a:off x="10681445" y="3427773"/>
          <a:ext cx="2290484" cy="406037"/>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2" name="グラフ 1">
          <a:extLst>
            <a:ext uri="{FF2B5EF4-FFF2-40B4-BE49-F238E27FC236}">
              <a16:creationId xmlns:a16="http://schemas.microsoft.com/office/drawing/2014/main" id="{7FCF275A-1A1B-4037-A06B-0C3C81C3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6" name="楕円 5">
          <a:extLst>
            <a:ext uri="{FF2B5EF4-FFF2-40B4-BE49-F238E27FC236}">
              <a16:creationId xmlns:a16="http://schemas.microsoft.com/office/drawing/2014/main" id="{8A6BBB3E-53AF-4E55-A7F5-AE63BDDF66C9}"/>
            </a:ext>
          </a:extLst>
        </xdr:cNvPr>
        <xdr:cNvSpPr/>
      </xdr:nvSpPr>
      <xdr:spPr>
        <a:xfrm>
          <a:off x="10746282" y="2747681"/>
          <a:ext cx="275343"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0" name="楕円 9">
          <a:extLst>
            <a:ext uri="{FF2B5EF4-FFF2-40B4-BE49-F238E27FC236}">
              <a16:creationId xmlns:a16="http://schemas.microsoft.com/office/drawing/2014/main" id="{B4CB800C-86C2-4AEB-8E25-9135025C9065}"/>
            </a:ext>
          </a:extLst>
        </xdr:cNvPr>
        <xdr:cNvSpPr/>
      </xdr:nvSpPr>
      <xdr:spPr>
        <a:xfrm>
          <a:off x="10744450" y="3353514"/>
          <a:ext cx="280508" cy="26455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2" name="グラフ 1">
          <a:extLst>
            <a:ext uri="{FF2B5EF4-FFF2-40B4-BE49-F238E27FC236}">
              <a16:creationId xmlns:a16="http://schemas.microsoft.com/office/drawing/2014/main" id="{E1D47BA6-F3B1-47DD-8BC6-5F8A8269B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3" name="楕円 2">
          <a:extLst>
            <a:ext uri="{FF2B5EF4-FFF2-40B4-BE49-F238E27FC236}">
              <a16:creationId xmlns:a16="http://schemas.microsoft.com/office/drawing/2014/main" id="{A72A0379-F1F8-49A3-937B-42F2CB3432DA}"/>
            </a:ext>
          </a:extLst>
        </xdr:cNvPr>
        <xdr:cNvSpPr/>
      </xdr:nvSpPr>
      <xdr:spPr>
        <a:xfrm>
          <a:off x="8113939" y="2911927"/>
          <a:ext cx="27222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4" name="楕円 3">
          <a:extLst>
            <a:ext uri="{FF2B5EF4-FFF2-40B4-BE49-F238E27FC236}">
              <a16:creationId xmlns:a16="http://schemas.microsoft.com/office/drawing/2014/main" id="{5969758B-7B76-4DF0-B1F8-8A0D9977917E}"/>
            </a:ext>
          </a:extLst>
        </xdr:cNvPr>
        <xdr:cNvSpPr/>
      </xdr:nvSpPr>
      <xdr:spPr>
        <a:xfrm>
          <a:off x="6646698" y="3773072"/>
          <a:ext cx="270832" cy="24612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5" name="楕円 4">
          <a:extLst>
            <a:ext uri="{FF2B5EF4-FFF2-40B4-BE49-F238E27FC236}">
              <a16:creationId xmlns:a16="http://schemas.microsoft.com/office/drawing/2014/main" id="{641DDE9B-AB6D-414A-AAD9-704ABC88F490}"/>
            </a:ext>
          </a:extLst>
        </xdr:cNvPr>
        <xdr:cNvSpPr/>
      </xdr:nvSpPr>
      <xdr:spPr>
        <a:xfrm>
          <a:off x="11385658" y="5005188"/>
          <a:ext cx="270860"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6" name="楕円 5">
          <a:extLst>
            <a:ext uri="{FF2B5EF4-FFF2-40B4-BE49-F238E27FC236}">
              <a16:creationId xmlns:a16="http://schemas.microsoft.com/office/drawing/2014/main" id="{59E2A5BA-F68F-4D70-ACDA-A7B9AB3619D6}"/>
            </a:ext>
          </a:extLst>
        </xdr:cNvPr>
        <xdr:cNvSpPr/>
      </xdr:nvSpPr>
      <xdr:spPr>
        <a:xfrm>
          <a:off x="13438976" y="2739598"/>
          <a:ext cx="27358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7" name="四角形: 角を丸くする 6">
          <a:extLst>
            <a:ext uri="{FF2B5EF4-FFF2-40B4-BE49-F238E27FC236}">
              <a16:creationId xmlns:a16="http://schemas.microsoft.com/office/drawing/2014/main" id="{6A24F504-029A-4542-B8DF-87B20E25FD93}"/>
            </a:ext>
          </a:extLst>
        </xdr:cNvPr>
        <xdr:cNvSpPr/>
      </xdr:nvSpPr>
      <xdr:spPr>
        <a:xfrm>
          <a:off x="11041156" y="2893359"/>
          <a:ext cx="2252621" cy="426865"/>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8" name="四角形: 角を丸くする 7">
          <a:extLst>
            <a:ext uri="{FF2B5EF4-FFF2-40B4-BE49-F238E27FC236}">
              <a16:creationId xmlns:a16="http://schemas.microsoft.com/office/drawing/2014/main" id="{ADF06E04-4E39-466B-B111-9D045CF766D6}"/>
            </a:ext>
          </a:extLst>
        </xdr:cNvPr>
        <xdr:cNvSpPr/>
      </xdr:nvSpPr>
      <xdr:spPr>
        <a:xfrm>
          <a:off x="11012019" y="3488845"/>
          <a:ext cx="2322420" cy="429569"/>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9" name="グラフ 8">
          <a:extLst>
            <a:ext uri="{FF2B5EF4-FFF2-40B4-BE49-F238E27FC236}">
              <a16:creationId xmlns:a16="http://schemas.microsoft.com/office/drawing/2014/main" id="{D6F21CD9-C907-4750-8FEA-E21A51EF6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10" name="楕円 9">
          <a:extLst>
            <a:ext uri="{FF2B5EF4-FFF2-40B4-BE49-F238E27FC236}">
              <a16:creationId xmlns:a16="http://schemas.microsoft.com/office/drawing/2014/main" id="{28936D88-FD26-4BA7-8146-A09CF24FEC7A}"/>
            </a:ext>
          </a:extLst>
        </xdr:cNvPr>
        <xdr:cNvSpPr/>
      </xdr:nvSpPr>
      <xdr:spPr>
        <a:xfrm>
          <a:off x="10758608" y="2760568"/>
          <a:ext cx="275343" cy="2577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1" name="楕円 10">
          <a:extLst>
            <a:ext uri="{FF2B5EF4-FFF2-40B4-BE49-F238E27FC236}">
              <a16:creationId xmlns:a16="http://schemas.microsoft.com/office/drawing/2014/main" id="{6C731D1E-E3BB-4E45-BE1B-D51EF9F6A904}"/>
            </a:ext>
          </a:extLst>
        </xdr:cNvPr>
        <xdr:cNvSpPr/>
      </xdr:nvSpPr>
      <xdr:spPr>
        <a:xfrm>
          <a:off x="10756776" y="3359677"/>
          <a:ext cx="280508" cy="2611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arketspeed.jp/ms2_rss/onlinehelp/ohm_002/ohm_002_06.html" TargetMode="External"/><Relationship Id="rId2" Type="http://schemas.openxmlformats.org/officeDocument/2006/relationships/hyperlink" Target="https://marketspeed.jp/ms2_rss/onlinehelp/ohm_002/ohm_002_06.html" TargetMode="External"/><Relationship Id="rId1" Type="http://schemas.openxmlformats.org/officeDocument/2006/relationships/hyperlink" Target="https://marketspeed.jp/ms2_rss/onlinehelp/ohm_002/ohm_002_06.html" TargetMode="External"/><Relationship Id="rId5" Type="http://schemas.openxmlformats.org/officeDocument/2006/relationships/drawing" Target="../drawings/drawing1.xml"/><Relationship Id="rId4" Type="http://schemas.openxmlformats.org/officeDocument/2006/relationships/hyperlink" Target="https://marketspeed.jp/ms2_rss/onlinehel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E79"/>
  <sheetViews>
    <sheetView showGridLines="0" zoomScale="85" zoomScaleNormal="85" workbookViewId="0"/>
  </sheetViews>
  <sheetFormatPr defaultColWidth="4" defaultRowHeight="16"/>
  <cols>
    <col min="1" max="16384" width="4" style="65"/>
  </cols>
  <sheetData>
    <row r="2" spans="2:10" ht="19.5">
      <c r="B2" s="71" t="s">
        <v>173</v>
      </c>
    </row>
    <row r="4" spans="2:10" ht="19.5">
      <c r="C4" s="71" t="s">
        <v>172</v>
      </c>
    </row>
    <row r="5" spans="2:10">
      <c r="D5" s="78" t="s">
        <v>171</v>
      </c>
      <c r="E5" s="77" t="str">
        <f>HYPERLINK("#一括発注_国内株!A1","一括発注_国内株")</f>
        <v>一括発注_国内株</v>
      </c>
      <c r="J5" s="65" t="s">
        <v>177</v>
      </c>
    </row>
    <row r="6" spans="2:10">
      <c r="D6" s="78"/>
      <c r="E6" s="77"/>
      <c r="J6" s="65" t="s">
        <v>176</v>
      </c>
    </row>
    <row r="7" spans="2:10">
      <c r="D7" s="78"/>
      <c r="E7" s="77"/>
    </row>
    <row r="8" spans="2:10">
      <c r="D8" s="70" t="s">
        <v>170</v>
      </c>
      <c r="E8" s="77" t="str">
        <f>HYPERLINK("#一括発注_先物OP!A1","一括発注_先物OP")</f>
        <v>一括発注_先物OP</v>
      </c>
      <c r="J8" s="65" t="s">
        <v>178</v>
      </c>
    </row>
    <row r="9" spans="2:10">
      <c r="D9" s="70"/>
      <c r="E9" s="77"/>
      <c r="J9" s="65" t="s">
        <v>179</v>
      </c>
    </row>
    <row r="10" spans="2:10">
      <c r="D10" s="70"/>
      <c r="E10" s="77"/>
    </row>
    <row r="11" spans="2:10">
      <c r="D11" s="70" t="s">
        <v>169</v>
      </c>
      <c r="E11" s="77" t="str">
        <f>HYPERLINK("#トリガー発注!A1","トリガー発注")</f>
        <v>トリガー発注</v>
      </c>
      <c r="J11" s="65" t="s">
        <v>180</v>
      </c>
    </row>
    <row r="12" spans="2:10">
      <c r="D12" s="70"/>
      <c r="E12" s="77"/>
      <c r="J12" s="65" t="s">
        <v>182</v>
      </c>
    </row>
    <row r="13" spans="2:10">
      <c r="D13" s="70"/>
      <c r="E13" s="77"/>
    </row>
    <row r="14" spans="2:10" ht="19.5">
      <c r="C14" s="71" t="s">
        <v>168</v>
      </c>
      <c r="D14" s="70"/>
    </row>
    <row r="15" spans="2:10">
      <c r="D15" s="72" t="s">
        <v>191</v>
      </c>
      <c r="E15" s="65" t="s">
        <v>184</v>
      </c>
    </row>
    <row r="16" spans="2:10">
      <c r="E16" s="65" t="s">
        <v>185</v>
      </c>
    </row>
    <row r="17" spans="3:9">
      <c r="D17" s="72" t="s">
        <v>183</v>
      </c>
      <c r="E17" s="65" t="s">
        <v>186</v>
      </c>
    </row>
    <row r="18" spans="3:9">
      <c r="E18" s="65" t="s">
        <v>187</v>
      </c>
    </row>
    <row r="19" spans="3:9">
      <c r="D19" s="72" t="s">
        <v>190</v>
      </c>
      <c r="E19" s="65" t="s">
        <v>188</v>
      </c>
    </row>
    <row r="20" spans="3:9">
      <c r="D20" s="76"/>
      <c r="E20" s="65" t="s">
        <v>189</v>
      </c>
    </row>
    <row r="21" spans="3:9">
      <c r="D21" s="76"/>
    </row>
    <row r="22" spans="3:9">
      <c r="D22" s="76"/>
    </row>
    <row r="23" spans="3:9">
      <c r="D23" s="70"/>
    </row>
    <row r="24" spans="3:9" ht="19.5">
      <c r="C24" s="71" t="s">
        <v>167</v>
      </c>
      <c r="D24" s="70"/>
    </row>
    <row r="25" spans="3:9">
      <c r="D25" s="76" t="s">
        <v>166</v>
      </c>
    </row>
    <row r="26" spans="3:9">
      <c r="D26" s="65" t="s">
        <v>192</v>
      </c>
    </row>
    <row r="27" spans="3:9" ht="19.5">
      <c r="C27" s="71"/>
      <c r="D27" s="70"/>
    </row>
    <row r="28" spans="3:9" ht="19.5">
      <c r="D28" s="71"/>
      <c r="E28" s="80"/>
      <c r="F28" s="81"/>
      <c r="G28" s="82"/>
      <c r="I28" s="65" t="s">
        <v>193</v>
      </c>
    </row>
    <row r="29" spans="3:9" ht="19.5">
      <c r="C29" s="71"/>
      <c r="D29" s="70"/>
    </row>
    <row r="30" spans="3:9" ht="19.5">
      <c r="D30" s="71"/>
      <c r="E30" s="33"/>
      <c r="F30" s="83"/>
      <c r="G30" s="84"/>
      <c r="I30" s="65" t="s">
        <v>194</v>
      </c>
    </row>
    <row r="31" spans="3:9" ht="19.5">
      <c r="C31" s="71"/>
    </row>
    <row r="32" spans="3:9">
      <c r="D32" s="76" t="s">
        <v>195</v>
      </c>
    </row>
    <row r="33" spans="3:31">
      <c r="D33" s="76" t="s">
        <v>196</v>
      </c>
    </row>
    <row r="34" spans="3:31">
      <c r="D34" s="76"/>
    </row>
    <row r="35" spans="3:31">
      <c r="D35" s="70"/>
      <c r="E35" s="65" t="s">
        <v>165</v>
      </c>
    </row>
    <row r="36" spans="3:31">
      <c r="D36" s="70"/>
      <c r="E36" s="106" t="s">
        <v>164</v>
      </c>
      <c r="F36" s="106"/>
      <c r="G36" s="106" t="s">
        <v>98</v>
      </c>
      <c r="H36" s="106"/>
      <c r="I36" s="106"/>
      <c r="J36" s="106" t="s">
        <v>163</v>
      </c>
      <c r="K36" s="106"/>
      <c r="L36" s="106"/>
      <c r="M36" s="106"/>
      <c r="N36" s="106"/>
      <c r="O36" s="106"/>
      <c r="P36" s="106"/>
      <c r="Q36" s="106"/>
      <c r="R36" s="106"/>
      <c r="S36" s="106"/>
      <c r="T36" s="106"/>
      <c r="U36" s="106"/>
      <c r="V36" s="106"/>
      <c r="W36" s="106"/>
      <c r="X36" s="106"/>
      <c r="Y36" s="106"/>
      <c r="Z36" s="106"/>
      <c r="AA36" s="106"/>
      <c r="AB36" s="106"/>
      <c r="AC36" s="106"/>
    </row>
    <row r="37" spans="3:31" ht="39" customHeight="1">
      <c r="D37" s="70"/>
      <c r="E37" s="104" t="s">
        <v>162</v>
      </c>
      <c r="F37" s="104"/>
      <c r="G37" s="104" t="s">
        <v>101</v>
      </c>
      <c r="H37" s="104"/>
      <c r="I37" s="104"/>
      <c r="J37" s="105" t="s">
        <v>161</v>
      </c>
      <c r="K37" s="105"/>
      <c r="L37" s="105"/>
      <c r="M37" s="105"/>
      <c r="N37" s="105"/>
      <c r="O37" s="105"/>
      <c r="P37" s="105"/>
      <c r="Q37" s="105"/>
      <c r="R37" s="105"/>
      <c r="S37" s="105"/>
      <c r="T37" s="105"/>
      <c r="U37" s="105"/>
      <c r="V37" s="105"/>
      <c r="W37" s="105"/>
      <c r="X37" s="105"/>
      <c r="Y37" s="105"/>
      <c r="Z37" s="105"/>
      <c r="AA37" s="105"/>
      <c r="AB37" s="105"/>
      <c r="AC37" s="105"/>
      <c r="AD37" s="75"/>
      <c r="AE37" s="75"/>
    </row>
    <row r="38" spans="3:31" ht="39" customHeight="1">
      <c r="E38" s="104" t="s">
        <v>160</v>
      </c>
      <c r="F38" s="104"/>
      <c r="G38" s="104" t="s">
        <v>38</v>
      </c>
      <c r="H38" s="104"/>
      <c r="I38" s="104"/>
      <c r="J38" s="105" t="s">
        <v>159</v>
      </c>
      <c r="K38" s="105"/>
      <c r="L38" s="105"/>
      <c r="M38" s="105"/>
      <c r="N38" s="105"/>
      <c r="O38" s="105"/>
      <c r="P38" s="105"/>
      <c r="Q38" s="105"/>
      <c r="R38" s="105"/>
      <c r="S38" s="105"/>
      <c r="T38" s="105"/>
      <c r="U38" s="105"/>
      <c r="V38" s="105"/>
      <c r="W38" s="105"/>
      <c r="X38" s="105"/>
      <c r="Y38" s="105"/>
      <c r="Z38" s="105"/>
      <c r="AA38" s="105"/>
      <c r="AB38" s="105"/>
      <c r="AC38" s="105"/>
    </row>
    <row r="40" spans="3:31">
      <c r="M40" s="65" t="s">
        <v>158</v>
      </c>
      <c r="V40" s="72"/>
      <c r="W40" s="72"/>
    </row>
    <row r="41" spans="3:31">
      <c r="C41" s="74"/>
      <c r="E41" s="72"/>
      <c r="F41" s="72"/>
      <c r="G41" s="72"/>
      <c r="H41" s="72"/>
      <c r="I41" s="72"/>
      <c r="J41" s="72"/>
      <c r="K41" s="72"/>
      <c r="L41" s="72"/>
      <c r="M41" s="65" t="s">
        <v>157</v>
      </c>
      <c r="O41" s="72"/>
      <c r="P41" s="72"/>
      <c r="Q41" s="72"/>
      <c r="R41" s="72"/>
      <c r="S41" s="72"/>
      <c r="T41" s="72"/>
      <c r="U41" s="72"/>
      <c r="V41" s="72"/>
      <c r="W41" s="72"/>
    </row>
    <row r="42" spans="3:31">
      <c r="E42" s="72"/>
      <c r="F42" s="72"/>
      <c r="G42" s="72"/>
      <c r="H42" s="72"/>
      <c r="I42" s="72"/>
      <c r="J42" s="72"/>
      <c r="K42" s="72"/>
      <c r="L42" s="72"/>
      <c r="M42" s="72"/>
      <c r="N42" s="72"/>
      <c r="O42" s="72"/>
    </row>
    <row r="43" spans="3:31">
      <c r="E43" s="72"/>
      <c r="F43" s="72"/>
      <c r="G43" s="72"/>
      <c r="H43" s="72"/>
      <c r="I43" s="72"/>
      <c r="J43" s="72"/>
      <c r="K43" s="72"/>
      <c r="L43" s="72"/>
      <c r="M43" s="73" t="s">
        <v>156</v>
      </c>
      <c r="O43" s="72"/>
    </row>
    <row r="44" spans="3:31">
      <c r="E44" s="72"/>
      <c r="F44" s="72"/>
      <c r="G44" s="72"/>
      <c r="H44" s="72"/>
      <c r="I44" s="72"/>
      <c r="J44" s="72"/>
      <c r="K44" s="72"/>
      <c r="L44" s="72"/>
      <c r="M44" s="72"/>
      <c r="N44" s="72"/>
      <c r="O44" s="72"/>
    </row>
    <row r="45" spans="3:31">
      <c r="E45" s="72"/>
      <c r="F45" s="72"/>
      <c r="G45" s="72"/>
      <c r="H45" s="72"/>
      <c r="I45" s="72"/>
      <c r="J45" s="72"/>
      <c r="K45" s="72"/>
      <c r="L45" s="72"/>
      <c r="M45" s="73" t="s">
        <v>155</v>
      </c>
      <c r="N45" s="72"/>
      <c r="O45" s="72"/>
    </row>
    <row r="46" spans="3:31">
      <c r="E46" s="72"/>
      <c r="F46" s="72"/>
      <c r="G46" s="72"/>
      <c r="H46" s="72"/>
      <c r="I46" s="72"/>
      <c r="J46" s="72"/>
      <c r="K46" s="72"/>
      <c r="L46" s="72"/>
      <c r="M46" s="72"/>
      <c r="N46" s="72"/>
      <c r="O46" s="72"/>
    </row>
    <row r="47" spans="3:31">
      <c r="E47" s="67"/>
      <c r="F47" s="67"/>
      <c r="G47" s="67"/>
      <c r="H47" s="67"/>
      <c r="I47" s="67"/>
      <c r="J47" s="67"/>
      <c r="K47" s="67"/>
      <c r="L47" s="67"/>
      <c r="M47" s="67"/>
      <c r="N47" s="67"/>
      <c r="O47" s="67"/>
    </row>
    <row r="48" spans="3:31" ht="19.5">
      <c r="C48" s="71" t="s">
        <v>154</v>
      </c>
      <c r="E48" s="70"/>
    </row>
    <row r="49" spans="4:13">
      <c r="D49" s="65" t="s">
        <v>153</v>
      </c>
      <c r="G49" s="68"/>
      <c r="H49" s="67"/>
      <c r="I49" s="66"/>
      <c r="J49" s="68"/>
      <c r="K49" s="67"/>
      <c r="L49" s="67"/>
      <c r="M49" s="67"/>
    </row>
    <row r="50" spans="4:13">
      <c r="E50" s="77" t="s">
        <v>216</v>
      </c>
      <c r="G50" s="68"/>
      <c r="H50" s="67"/>
      <c r="I50" s="66"/>
      <c r="J50" s="68"/>
      <c r="K50" s="67"/>
      <c r="L50" s="67"/>
      <c r="M50" s="67"/>
    </row>
    <row r="51" spans="4:13">
      <c r="G51" s="68"/>
      <c r="H51" s="67"/>
      <c r="I51" s="66"/>
      <c r="J51" s="68"/>
      <c r="K51" s="67"/>
      <c r="L51" s="67"/>
      <c r="M51" s="67"/>
    </row>
    <row r="52" spans="4:13">
      <c r="D52" s="65" t="s">
        <v>152</v>
      </c>
      <c r="G52" s="68"/>
      <c r="H52" s="67"/>
      <c r="I52" s="66"/>
      <c r="J52" s="68"/>
      <c r="K52" s="67"/>
      <c r="L52" s="67"/>
      <c r="M52" s="67"/>
    </row>
    <row r="53" spans="4:13">
      <c r="E53" s="77" t="s">
        <v>151</v>
      </c>
      <c r="G53" s="68"/>
      <c r="H53" s="67"/>
      <c r="I53" s="66"/>
      <c r="J53" s="68"/>
      <c r="K53" s="67"/>
      <c r="L53" s="67"/>
      <c r="M53" s="67"/>
    </row>
    <row r="54" spans="4:13">
      <c r="E54" s="77" t="s">
        <v>150</v>
      </c>
      <c r="F54" s="69"/>
      <c r="G54" s="68"/>
      <c r="H54" s="67"/>
      <c r="I54" s="66"/>
      <c r="J54" s="68"/>
      <c r="K54" s="67"/>
      <c r="L54" s="67"/>
      <c r="M54" s="67"/>
    </row>
    <row r="55" spans="4:13">
      <c r="E55" s="77" t="s">
        <v>149</v>
      </c>
      <c r="G55" s="68"/>
      <c r="H55" s="67"/>
      <c r="I55" s="66"/>
      <c r="J55" s="68"/>
      <c r="K55" s="67"/>
      <c r="L55" s="67"/>
      <c r="M55" s="67"/>
    </row>
    <row r="56" spans="4:13">
      <c r="F56" s="69"/>
      <c r="G56" s="68"/>
      <c r="H56" s="67"/>
      <c r="I56" s="66"/>
      <c r="J56" s="68"/>
      <c r="K56" s="67"/>
      <c r="L56" s="67"/>
      <c r="M56" s="67"/>
    </row>
    <row r="57" spans="4:13">
      <c r="G57" s="68"/>
      <c r="H57" s="67"/>
      <c r="I57" s="66"/>
      <c r="J57" s="68"/>
      <c r="K57" s="67"/>
      <c r="L57" s="67"/>
      <c r="M57" s="67"/>
    </row>
    <row r="58" spans="4:13">
      <c r="F58" s="69"/>
      <c r="G58" s="68"/>
      <c r="H58" s="67"/>
      <c r="I58" s="66"/>
      <c r="J58" s="68"/>
      <c r="K58" s="67"/>
      <c r="L58" s="67"/>
      <c r="M58" s="67"/>
    </row>
    <row r="59" spans="4:13">
      <c r="H59" s="68"/>
      <c r="I59" s="67"/>
      <c r="J59" s="66"/>
      <c r="K59" s="68"/>
      <c r="L59" s="67"/>
      <c r="M59" s="66"/>
    </row>
    <row r="60" spans="4:13">
      <c r="H60" s="68"/>
      <c r="I60" s="67"/>
      <c r="J60" s="66"/>
      <c r="K60" s="68"/>
      <c r="L60" s="67"/>
      <c r="M60" s="66"/>
    </row>
    <row r="61" spans="4:13">
      <c r="H61" s="68"/>
      <c r="I61" s="67"/>
      <c r="J61" s="66"/>
      <c r="K61" s="68"/>
      <c r="L61" s="67"/>
      <c r="M61" s="66"/>
    </row>
    <row r="62" spans="4:13">
      <c r="H62" s="68"/>
      <c r="I62" s="67"/>
      <c r="J62" s="66"/>
      <c r="K62" s="68"/>
      <c r="L62" s="67"/>
      <c r="M62" s="66"/>
    </row>
    <row r="63" spans="4:13">
      <c r="H63" s="68"/>
      <c r="I63" s="67"/>
      <c r="J63" s="66"/>
      <c r="K63" s="68"/>
      <c r="L63" s="67"/>
      <c r="M63" s="66"/>
    </row>
    <row r="64" spans="4:13">
      <c r="H64" s="68"/>
      <c r="I64" s="67"/>
      <c r="J64" s="66"/>
      <c r="K64" s="68"/>
      <c r="L64" s="67"/>
      <c r="M64" s="66"/>
    </row>
    <row r="65" spans="8:13">
      <c r="H65" s="68"/>
      <c r="I65" s="67"/>
      <c r="J65" s="66"/>
      <c r="K65" s="68"/>
      <c r="L65" s="67"/>
      <c r="M65" s="66"/>
    </row>
    <row r="66" spans="8:13">
      <c r="H66" s="68"/>
      <c r="I66" s="67"/>
      <c r="J66" s="66"/>
      <c r="K66" s="68"/>
      <c r="L66" s="67"/>
      <c r="M66" s="66"/>
    </row>
    <row r="67" spans="8:13">
      <c r="H67" s="68"/>
      <c r="I67" s="67"/>
      <c r="J67" s="66"/>
      <c r="K67" s="68"/>
      <c r="L67" s="67"/>
      <c r="M67" s="66"/>
    </row>
    <row r="68" spans="8:13">
      <c r="H68" s="68"/>
      <c r="I68" s="67"/>
      <c r="J68" s="66"/>
      <c r="K68" s="68"/>
      <c r="L68" s="67"/>
      <c r="M68" s="66"/>
    </row>
    <row r="69" spans="8:13">
      <c r="H69" s="68"/>
      <c r="I69" s="67"/>
      <c r="J69" s="66"/>
      <c r="K69" s="68"/>
      <c r="L69" s="67"/>
      <c r="M69" s="66"/>
    </row>
    <row r="70" spans="8:13">
      <c r="H70" s="68"/>
      <c r="I70" s="67"/>
      <c r="J70" s="66"/>
      <c r="K70" s="68"/>
      <c r="L70" s="67"/>
      <c r="M70" s="66"/>
    </row>
    <row r="71" spans="8:13">
      <c r="H71" s="68"/>
      <c r="I71" s="67"/>
      <c r="J71" s="66"/>
      <c r="K71" s="68"/>
      <c r="L71" s="67"/>
      <c r="M71" s="66"/>
    </row>
    <row r="72" spans="8:13">
      <c r="H72" s="68"/>
      <c r="I72" s="67"/>
      <c r="J72" s="66"/>
      <c r="K72" s="68"/>
      <c r="L72" s="67"/>
      <c r="M72" s="66"/>
    </row>
    <row r="73" spans="8:13">
      <c r="H73" s="68"/>
      <c r="I73" s="67"/>
      <c r="J73" s="66"/>
      <c r="K73" s="68"/>
      <c r="L73" s="67"/>
      <c r="M73" s="66"/>
    </row>
    <row r="74" spans="8:13">
      <c r="H74" s="68"/>
      <c r="I74" s="67"/>
      <c r="J74" s="66"/>
      <c r="K74" s="68"/>
      <c r="L74" s="67"/>
      <c r="M74" s="66"/>
    </row>
    <row r="75" spans="8:13">
      <c r="H75" s="68"/>
      <c r="I75" s="67"/>
      <c r="J75" s="66"/>
      <c r="K75" s="68"/>
      <c r="L75" s="67"/>
      <c r="M75" s="66"/>
    </row>
    <row r="76" spans="8:13">
      <c r="H76" s="68"/>
      <c r="I76" s="67"/>
      <c r="J76" s="66"/>
      <c r="K76" s="68"/>
      <c r="L76" s="67"/>
      <c r="M76" s="66"/>
    </row>
    <row r="77" spans="8:13">
      <c r="H77" s="68"/>
      <c r="I77" s="67"/>
      <c r="J77" s="66"/>
      <c r="K77" s="68"/>
      <c r="L77" s="67"/>
      <c r="M77" s="66"/>
    </row>
    <row r="78" spans="8:13">
      <c r="H78" s="68"/>
      <c r="I78" s="67"/>
      <c r="J78" s="66"/>
      <c r="K78" s="68"/>
      <c r="L78" s="67"/>
      <c r="M78" s="66"/>
    </row>
    <row r="79" spans="8:13">
      <c r="H79" s="68"/>
      <c r="I79" s="67"/>
      <c r="J79" s="66"/>
      <c r="K79" s="68"/>
      <c r="L79" s="67"/>
      <c r="M79" s="66"/>
    </row>
  </sheetData>
  <mergeCells count="9">
    <mergeCell ref="E38:F38"/>
    <mergeCell ref="G38:I38"/>
    <mergeCell ref="J38:AC38"/>
    <mergeCell ref="E36:F36"/>
    <mergeCell ref="G36:I36"/>
    <mergeCell ref="J36:AC36"/>
    <mergeCell ref="E37:F37"/>
    <mergeCell ref="G37:I37"/>
    <mergeCell ref="J37:AC37"/>
  </mergeCells>
  <phoneticPr fontId="4"/>
  <conditionalFormatting sqref="E30:G30">
    <cfRule type="expression" dxfId="63" priority="1">
      <formula>$N$22&lt;&gt;1</formula>
    </cfRule>
  </conditionalFormatting>
  <hyperlinks>
    <hyperlink ref="E53" r:id="rId1" location="RssStockOrder" xr:uid="{00000000-0004-0000-0000-000000000000}"/>
    <hyperlink ref="E54" r:id="rId2" location="RssMarginOpenOrder" xr:uid="{00000000-0004-0000-0000-000001000000}"/>
    <hyperlink ref="E55" r:id="rId3" location="RssFOPOpenOrder" xr:uid="{00000000-0004-0000-0000-000002000000}"/>
    <hyperlink ref="E50"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X36"/>
  <sheetViews>
    <sheetView showGridLines="0" zoomScale="85" zoomScaleNormal="85" workbookViewId="0"/>
  </sheetViews>
  <sheetFormatPr defaultColWidth="9.08203125" defaultRowHeight="13.5"/>
  <cols>
    <col min="1" max="1" width="4" style="1" customWidth="1"/>
    <col min="2" max="2" width="9.5" style="1" customWidth="1"/>
    <col min="3" max="3" width="6.83203125" style="1" bestFit="1" customWidth="1"/>
    <col min="4" max="4" width="11.58203125" style="1" bestFit="1" customWidth="1"/>
    <col min="5" max="5" width="9.83203125" style="1" bestFit="1" customWidth="1"/>
    <col min="6" max="6" width="9" style="1" bestFit="1" customWidth="1"/>
    <col min="7" max="7" width="11.75" style="1" bestFit="1" customWidth="1"/>
    <col min="8" max="8" width="8.33203125" style="1" bestFit="1" customWidth="1"/>
    <col min="9" max="9" width="8" style="1" customWidth="1"/>
    <col min="10" max="10" width="8.25" style="1" customWidth="1"/>
    <col min="11" max="11" width="9" style="1" customWidth="1"/>
    <col min="12" max="13" width="8.25" style="1" bestFit="1" customWidth="1"/>
    <col min="14" max="14" width="9.5" style="1" bestFit="1" customWidth="1"/>
    <col min="15" max="15" width="8.25" style="1" bestFit="1" customWidth="1"/>
    <col min="16" max="16" width="13.33203125" style="1" bestFit="1" customWidth="1"/>
    <col min="17" max="17" width="20.58203125" style="1" customWidth="1"/>
    <col min="18" max="18" width="22" style="1" customWidth="1"/>
    <col min="19" max="19" width="23.25" style="1" customWidth="1"/>
    <col min="20" max="21" width="13.33203125" style="1" bestFit="1" customWidth="1"/>
    <col min="22" max="22" width="17" style="1" bestFit="1" customWidth="1"/>
    <col min="23" max="24" width="13.33203125" style="1" bestFit="1" customWidth="1"/>
    <col min="25" max="42" width="9" style="1" customWidth="1"/>
    <col min="43" max="16384" width="9.08203125" style="1"/>
  </cols>
  <sheetData>
    <row r="2" spans="2:24" ht="22">
      <c r="B2" s="25" t="s">
        <v>43</v>
      </c>
    </row>
    <row r="3" spans="2:24" ht="18">
      <c r="B3" s="24" t="s">
        <v>42</v>
      </c>
      <c r="C3" s="24"/>
    </row>
    <row r="4" spans="2:24" ht="18">
      <c r="B4" s="24" t="s">
        <v>41</v>
      </c>
    </row>
    <row r="5" spans="2:24" ht="18">
      <c r="B5" s="24" t="s">
        <v>40</v>
      </c>
    </row>
    <row r="6" spans="2:24" ht="15">
      <c r="P6" s="23" t="str">
        <f>_xll.RssCapacityList(P7:S7)</f>
        <v>=@RssCapacityList(P7:S7) =&gt; 接続待ち</v>
      </c>
      <c r="Q6" s="23"/>
      <c r="R6" s="23"/>
      <c r="S6" s="23"/>
    </row>
    <row r="7" spans="2:24" ht="15">
      <c r="D7" s="107" t="s">
        <v>39</v>
      </c>
      <c r="E7" s="108"/>
      <c r="P7" s="22" t="s">
        <v>37</v>
      </c>
      <c r="Q7" s="22" t="s">
        <v>36</v>
      </c>
      <c r="R7" s="22" t="s">
        <v>35</v>
      </c>
      <c r="S7" s="22" t="s">
        <v>34</v>
      </c>
    </row>
    <row r="8" spans="2:24" ht="15">
      <c r="D8" s="21">
        <v>0</v>
      </c>
      <c r="E8" s="20" t="str">
        <f>IF(ISBLANK(D8),"",IF(OR(D8=0,D8=FALSE),"待機中",IF(OR(D8=1,D8=TRUE),"発注","")))</f>
        <v>待機中</v>
      </c>
      <c r="P8" s="19">
        <v>26353</v>
      </c>
      <c r="Q8" s="19"/>
      <c r="R8" s="19"/>
      <c r="S8" s="103"/>
    </row>
    <row r="9" spans="2:24" ht="15">
      <c r="P9" s="18" t="s">
        <v>52</v>
      </c>
      <c r="Q9" s="18" t="s">
        <v>52</v>
      </c>
      <c r="R9" s="18" t="s">
        <v>52</v>
      </c>
      <c r="S9" s="18" t="s">
        <v>52</v>
      </c>
    </row>
    <row r="10" spans="2:24" ht="16">
      <c r="B10" s="12" t="s">
        <v>33</v>
      </c>
    </row>
    <row r="11" spans="2:24" s="15" customFormat="1">
      <c r="B11" s="11" t="s">
        <v>32</v>
      </c>
      <c r="C11" s="11" t="s">
        <v>31</v>
      </c>
      <c r="D11" s="11" t="s">
        <v>30</v>
      </c>
      <c r="E11" s="11" t="s">
        <v>29</v>
      </c>
      <c r="F11" s="11" t="s">
        <v>28</v>
      </c>
      <c r="G11" s="11" t="s">
        <v>27</v>
      </c>
      <c r="H11" s="11" t="s">
        <v>26</v>
      </c>
      <c r="I11" s="11" t="s">
        <v>25</v>
      </c>
      <c r="J11" s="11" t="s">
        <v>6</v>
      </c>
      <c r="K11" s="11" t="s">
        <v>24</v>
      </c>
      <c r="L11" s="11" t="s">
        <v>5</v>
      </c>
      <c r="M11" s="11" t="s">
        <v>23</v>
      </c>
      <c r="N11" s="11" t="s">
        <v>22</v>
      </c>
      <c r="O11" s="11" t="s">
        <v>21</v>
      </c>
      <c r="P11" s="17" t="s">
        <v>20</v>
      </c>
      <c r="Q11" s="17" t="s">
        <v>19</v>
      </c>
      <c r="R11" s="17" t="s">
        <v>18</v>
      </c>
      <c r="S11" s="17" t="s">
        <v>17</v>
      </c>
      <c r="T11" s="16" t="s">
        <v>16</v>
      </c>
      <c r="U11" s="16" t="s">
        <v>15</v>
      </c>
      <c r="V11" s="16" t="s">
        <v>14</v>
      </c>
      <c r="W11" s="16" t="s">
        <v>13</v>
      </c>
      <c r="X11" s="16" t="s">
        <v>12</v>
      </c>
    </row>
    <row r="12" spans="2:24" ht="15">
      <c r="B12" s="88"/>
      <c r="C12" s="14"/>
      <c r="D12" s="14" t="str">
        <f>IF(E12="","",$D$8)</f>
        <v/>
      </c>
      <c r="E12" s="13"/>
      <c r="F12" s="88"/>
      <c r="G12" s="88"/>
      <c r="H12" s="88"/>
      <c r="I12" s="33"/>
      <c r="J12" s="13"/>
      <c r="K12" s="88"/>
      <c r="L12" s="33"/>
      <c r="M12" s="88"/>
      <c r="N12" s="33"/>
      <c r="O12" s="88"/>
      <c r="P12" s="13"/>
      <c r="Q12" s="88"/>
      <c r="R12" s="88"/>
      <c r="S12" s="13"/>
      <c r="T12" s="33"/>
      <c r="U12" s="88"/>
      <c r="V12" s="13"/>
      <c r="W12" s="90"/>
      <c r="X12" s="13"/>
    </row>
    <row r="13" spans="2:24" ht="15">
      <c r="B13" s="88"/>
      <c r="C13" s="14" t="str">
        <f t="shared" ref="C13:C21" si="0">IF($C$12="","",C12+1)</f>
        <v/>
      </c>
      <c r="D13" s="14" t="str">
        <f t="shared" ref="D13:D21" si="1">IF(E13="","",$D$8)</f>
        <v/>
      </c>
      <c r="E13" s="13"/>
      <c r="F13" s="88"/>
      <c r="G13" s="88"/>
      <c r="H13" s="88"/>
      <c r="I13" s="33"/>
      <c r="J13" s="13"/>
      <c r="K13" s="88"/>
      <c r="L13" s="33"/>
      <c r="M13" s="88"/>
      <c r="N13" s="33"/>
      <c r="O13" s="88"/>
      <c r="P13" s="13"/>
      <c r="Q13" s="88"/>
      <c r="R13" s="88"/>
      <c r="S13" s="13"/>
      <c r="T13" s="33"/>
      <c r="U13" s="88"/>
      <c r="V13" s="13"/>
      <c r="W13" s="90"/>
      <c r="X13" s="13"/>
    </row>
    <row r="14" spans="2:24" ht="15">
      <c r="B14" s="88"/>
      <c r="C14" s="14" t="str">
        <f t="shared" si="0"/>
        <v/>
      </c>
      <c r="D14" s="14" t="str">
        <f t="shared" si="1"/>
        <v/>
      </c>
      <c r="E14" s="13"/>
      <c r="F14" s="88"/>
      <c r="G14" s="88"/>
      <c r="H14" s="88"/>
      <c r="I14" s="33"/>
      <c r="J14" s="13"/>
      <c r="K14" s="88"/>
      <c r="L14" s="33"/>
      <c r="M14" s="88"/>
      <c r="N14" s="33"/>
      <c r="O14" s="88"/>
      <c r="P14" s="13"/>
      <c r="Q14" s="88"/>
      <c r="R14" s="88"/>
      <c r="S14" s="13"/>
      <c r="T14" s="33"/>
      <c r="U14" s="88"/>
      <c r="V14" s="13"/>
      <c r="W14" s="90"/>
      <c r="X14" s="13"/>
    </row>
    <row r="15" spans="2:24" ht="15">
      <c r="B15" s="88"/>
      <c r="C15" s="14" t="str">
        <f t="shared" si="0"/>
        <v/>
      </c>
      <c r="D15" s="14" t="str">
        <f t="shared" si="1"/>
        <v/>
      </c>
      <c r="E15" s="13"/>
      <c r="F15" s="88"/>
      <c r="G15" s="88"/>
      <c r="H15" s="88"/>
      <c r="I15" s="33"/>
      <c r="J15" s="13"/>
      <c r="K15" s="88"/>
      <c r="L15" s="33"/>
      <c r="M15" s="88"/>
      <c r="N15" s="33"/>
      <c r="O15" s="88"/>
      <c r="P15" s="13"/>
      <c r="Q15" s="88"/>
      <c r="R15" s="88"/>
      <c r="S15" s="13"/>
      <c r="T15" s="33"/>
      <c r="U15" s="88"/>
      <c r="V15" s="13"/>
      <c r="W15" s="90"/>
      <c r="X15" s="13"/>
    </row>
    <row r="16" spans="2:24" ht="15">
      <c r="B16" s="88"/>
      <c r="C16" s="14" t="str">
        <f t="shared" si="0"/>
        <v/>
      </c>
      <c r="D16" s="14" t="str">
        <f t="shared" si="1"/>
        <v/>
      </c>
      <c r="E16" s="13"/>
      <c r="F16" s="88"/>
      <c r="G16" s="88"/>
      <c r="H16" s="88"/>
      <c r="I16" s="33"/>
      <c r="J16" s="13"/>
      <c r="K16" s="88"/>
      <c r="L16" s="33"/>
      <c r="M16" s="88"/>
      <c r="N16" s="33"/>
      <c r="O16" s="88"/>
      <c r="P16" s="13"/>
      <c r="Q16" s="88"/>
      <c r="R16" s="88"/>
      <c r="S16" s="13"/>
      <c r="T16" s="33"/>
      <c r="U16" s="88"/>
      <c r="V16" s="13"/>
      <c r="W16" s="90"/>
      <c r="X16" s="13"/>
    </row>
    <row r="17" spans="2:24" ht="15">
      <c r="B17" s="88"/>
      <c r="C17" s="14" t="str">
        <f t="shared" si="0"/>
        <v/>
      </c>
      <c r="D17" s="14" t="str">
        <f t="shared" si="1"/>
        <v/>
      </c>
      <c r="E17" s="13"/>
      <c r="F17" s="88"/>
      <c r="G17" s="88"/>
      <c r="H17" s="88"/>
      <c r="I17" s="33"/>
      <c r="J17" s="13"/>
      <c r="K17" s="88"/>
      <c r="L17" s="33"/>
      <c r="M17" s="88"/>
      <c r="N17" s="33"/>
      <c r="O17" s="88"/>
      <c r="P17" s="13"/>
      <c r="Q17" s="88"/>
      <c r="R17" s="88"/>
      <c r="S17" s="13"/>
      <c r="T17" s="33"/>
      <c r="U17" s="88"/>
      <c r="V17" s="13"/>
      <c r="W17" s="90"/>
      <c r="X17" s="13"/>
    </row>
    <row r="18" spans="2:24" ht="15">
      <c r="B18" s="88"/>
      <c r="C18" s="14" t="str">
        <f t="shared" si="0"/>
        <v/>
      </c>
      <c r="D18" s="14" t="str">
        <f t="shared" si="1"/>
        <v/>
      </c>
      <c r="E18" s="13"/>
      <c r="F18" s="88"/>
      <c r="G18" s="88"/>
      <c r="H18" s="88"/>
      <c r="I18" s="33"/>
      <c r="J18" s="13"/>
      <c r="K18" s="88"/>
      <c r="L18" s="33"/>
      <c r="M18" s="88"/>
      <c r="N18" s="33"/>
      <c r="O18" s="88"/>
      <c r="P18" s="13"/>
      <c r="Q18" s="88"/>
      <c r="R18" s="88"/>
      <c r="S18" s="13"/>
      <c r="T18" s="33"/>
      <c r="U18" s="88"/>
      <c r="V18" s="13"/>
      <c r="W18" s="90"/>
      <c r="X18" s="13"/>
    </row>
    <row r="19" spans="2:24" ht="15">
      <c r="B19" s="88"/>
      <c r="C19" s="14" t="str">
        <f t="shared" si="0"/>
        <v/>
      </c>
      <c r="D19" s="14" t="str">
        <f t="shared" si="1"/>
        <v/>
      </c>
      <c r="E19" s="13"/>
      <c r="F19" s="88"/>
      <c r="G19" s="88"/>
      <c r="H19" s="88"/>
      <c r="I19" s="33"/>
      <c r="J19" s="13"/>
      <c r="K19" s="88"/>
      <c r="L19" s="33"/>
      <c r="M19" s="88"/>
      <c r="N19" s="33"/>
      <c r="O19" s="88"/>
      <c r="P19" s="13"/>
      <c r="Q19" s="88"/>
      <c r="R19" s="88"/>
      <c r="S19" s="13"/>
      <c r="T19" s="33"/>
      <c r="U19" s="88"/>
      <c r="V19" s="13"/>
      <c r="W19" s="90"/>
      <c r="X19" s="13"/>
    </row>
    <row r="20" spans="2:24" ht="15">
      <c r="B20" s="88"/>
      <c r="C20" s="14" t="str">
        <f t="shared" si="0"/>
        <v/>
      </c>
      <c r="D20" s="14" t="str">
        <f t="shared" si="1"/>
        <v/>
      </c>
      <c r="E20" s="13"/>
      <c r="F20" s="88"/>
      <c r="G20" s="88"/>
      <c r="H20" s="88"/>
      <c r="I20" s="33"/>
      <c r="J20" s="13"/>
      <c r="K20" s="88"/>
      <c r="L20" s="33"/>
      <c r="M20" s="88"/>
      <c r="N20" s="33"/>
      <c r="O20" s="88"/>
      <c r="P20" s="13"/>
      <c r="Q20" s="88"/>
      <c r="R20" s="88"/>
      <c r="S20" s="13"/>
      <c r="T20" s="33"/>
      <c r="U20" s="88"/>
      <c r="V20" s="13"/>
      <c r="W20" s="90"/>
      <c r="X20" s="13"/>
    </row>
    <row r="21" spans="2:24" ht="15">
      <c r="B21" s="88"/>
      <c r="C21" s="14" t="str">
        <f t="shared" si="0"/>
        <v/>
      </c>
      <c r="D21" s="14" t="str">
        <f t="shared" si="1"/>
        <v/>
      </c>
      <c r="E21" s="13"/>
      <c r="F21" s="88"/>
      <c r="G21" s="88"/>
      <c r="H21" s="88"/>
      <c r="I21" s="33"/>
      <c r="J21" s="13"/>
      <c r="K21" s="88"/>
      <c r="L21" s="33"/>
      <c r="M21" s="88"/>
      <c r="N21" s="33"/>
      <c r="O21" s="88"/>
      <c r="P21" s="13"/>
      <c r="Q21" s="88"/>
      <c r="R21" s="88"/>
      <c r="S21" s="13"/>
      <c r="T21" s="33"/>
      <c r="U21" s="88"/>
      <c r="V21" s="13"/>
      <c r="W21" s="90"/>
      <c r="X21" s="13"/>
    </row>
    <row r="23" spans="2:24" ht="16">
      <c r="B23" s="12" t="s">
        <v>11</v>
      </c>
      <c r="I23" s="12" t="s">
        <v>10</v>
      </c>
    </row>
    <row r="24" spans="2:24">
      <c r="B24" s="11" t="s">
        <v>9</v>
      </c>
      <c r="C24" s="11" t="s">
        <v>8</v>
      </c>
      <c r="D24" s="2" t="s">
        <v>7</v>
      </c>
      <c r="E24" s="11" t="s">
        <v>6</v>
      </c>
      <c r="F24" s="11" t="s">
        <v>5</v>
      </c>
      <c r="G24" s="2" t="s">
        <v>4</v>
      </c>
      <c r="I24" s="2" t="s">
        <v>3</v>
      </c>
      <c r="J24" s="10" t="s">
        <v>2</v>
      </c>
      <c r="K24" s="10"/>
      <c r="L24" s="10"/>
      <c r="M24" s="10"/>
      <c r="N24" s="10"/>
      <c r="O24" s="9"/>
    </row>
    <row r="25" spans="2:24">
      <c r="B25" s="2" t="str">
        <f t="shared" ref="B25:B34" si="2">IF(B12="","",IF(B12=0,"現物",IF(B12=1,"信用")))</f>
        <v/>
      </c>
      <c r="C25" s="2" t="str">
        <f>IF($C$12="","",C12)</f>
        <v/>
      </c>
      <c r="D25" s="2" t="str">
        <f>IF(E12="","",_xll.RssMarket(E12,"銘柄名称"))</f>
        <v/>
      </c>
      <c r="E25" s="2" t="str">
        <f>IF(J12="","",J12)</f>
        <v/>
      </c>
      <c r="F25" s="91" t="str">
        <f>IF(K12="","",IF(K12=0,_xll.RssMarket(K12,"現在値"),IF(K12=1,L12)))</f>
        <v/>
      </c>
      <c r="G25" s="91" t="str">
        <f t="shared" ref="G25:G34" si="3">IF(F25="","",E25*F25)</f>
        <v/>
      </c>
      <c r="I25" s="6" t="str">
        <f>IF(ISBLANK(B12),"",IF(B12=0,_xll.RssStockOrder(C12,D12,E12,F12,G12,H12,J12,K12,L12,M12,N12,O12,P12,Q12,R12,S12,T12,V12,W12,X12),IF(B12=1,_xll.RssMarginOpenOrder(C12,D12,E12,F12,G12,H12,I12,J12,K12,L12,M12,N12,O12,P12,Q12,R12,S12,T12,V12,U12,W12,X12),"注文種類を選んでください")))</f>
        <v/>
      </c>
      <c r="J25" s="5" t="str">
        <f>IF(ISBLANK(B12),"",RIGHT(I25,LEN(I25)-258))</f>
        <v/>
      </c>
      <c r="K25" s="4"/>
      <c r="L25" s="4"/>
      <c r="M25" s="4"/>
      <c r="N25" s="4"/>
      <c r="O25" s="3"/>
    </row>
    <row r="26" spans="2:24">
      <c r="B26" s="2" t="str">
        <f t="shared" si="2"/>
        <v/>
      </c>
      <c r="C26" s="2" t="str">
        <f t="shared" ref="C26:C34" si="4">C13</f>
        <v/>
      </c>
      <c r="D26" s="2" t="str">
        <f>IF(E13="","",_xll.RssMarket(E13,"銘柄名称"))</f>
        <v/>
      </c>
      <c r="E26" s="2" t="str">
        <f>IF(J13="","",J13)</f>
        <v/>
      </c>
      <c r="F26" s="91" t="str">
        <f>IF(K13="","",IF(K13=0,_xll.RssMarket(K13,"現在値"),IF(K13=1,L13)))</f>
        <v/>
      </c>
      <c r="G26" s="91" t="str">
        <f t="shared" si="3"/>
        <v/>
      </c>
      <c r="I26" s="6" t="str">
        <f>IF(ISBLANK(B13),"",IF(B13=0,_xll.RssStockOrder(C13,D13,E13,F13,G13,H13,J13,K13,L13,M13,N13,O13,P13,Q13,R13,S13,T13,V13,W13,X13),IF(B13=1,_xll.RssMarginOpenOrder(C13,D13,E13,F13,G13,H13,I13,J13,K13,L13,M13,N13,O13,P13,Q13,R13,S13,T13,V13,U13,W13,X13),"注文種類を選んでください")))</f>
        <v/>
      </c>
      <c r="J26" s="5" t="str">
        <f t="shared" ref="J26:J34" si="5">IF(ISBLANK(B13),"",RIGHT(I26,LEN(I26)-258))</f>
        <v/>
      </c>
      <c r="K26" s="8"/>
      <c r="L26" s="8"/>
      <c r="M26" s="8"/>
      <c r="N26" s="8"/>
      <c r="O26" s="7"/>
    </row>
    <row r="27" spans="2:24">
      <c r="B27" s="2" t="str">
        <f t="shared" si="2"/>
        <v/>
      </c>
      <c r="C27" s="2" t="str">
        <f t="shared" si="4"/>
        <v/>
      </c>
      <c r="D27" s="2" t="str">
        <f>IF(E14="","",_xll.RssMarket(E14,"銘柄名称"))</f>
        <v/>
      </c>
      <c r="E27" s="2" t="str">
        <f t="shared" ref="E27:E34" si="6">IF(J14="","",J14)</f>
        <v/>
      </c>
      <c r="F27" s="91" t="str">
        <f>IF(K14="","",IF(K14=0,_xll.RssMarket(K14,"現在値"),IF(K14=1,L14)))</f>
        <v/>
      </c>
      <c r="G27" s="91" t="str">
        <f t="shared" si="3"/>
        <v/>
      </c>
      <c r="I27" s="6" t="str">
        <f>IF(ISBLANK(B14),"",IF(B14=0,_xll.RssStockOrder(C14,D14,E14,F14,G14,H14,J14,K14,L14,M14,N14,O14,P14,Q14,R14,S14,T14,V14,W14,X14),IF(B14=1,_xll.RssMarginOpenOrder(C14,D14,E14,F14,G14,H14,I14,J14,K14,L14,M14,N14,O14,P14,Q14,R14,S14,T14,V14,U14,W14,X14),"注文種類を選んでください")))</f>
        <v/>
      </c>
      <c r="J27" s="5" t="str">
        <f t="shared" si="5"/>
        <v/>
      </c>
      <c r="K27" s="4"/>
      <c r="L27" s="4"/>
      <c r="M27" s="4"/>
      <c r="N27" s="4"/>
      <c r="O27" s="3"/>
    </row>
    <row r="28" spans="2:24">
      <c r="B28" s="2" t="str">
        <f t="shared" si="2"/>
        <v/>
      </c>
      <c r="C28" s="2" t="str">
        <f t="shared" si="4"/>
        <v/>
      </c>
      <c r="D28" s="2" t="str">
        <f>IF(E15="","",_xll.RssMarket(E15,"銘柄名称"))</f>
        <v/>
      </c>
      <c r="E28" s="2" t="str">
        <f t="shared" si="6"/>
        <v/>
      </c>
      <c r="F28" s="91" t="str">
        <f>IF(K15="","",IF(K15=0,_xll.RssMarket(K15,"現在値"),IF(K15=1,L15)))</f>
        <v/>
      </c>
      <c r="G28" s="91" t="str">
        <f t="shared" si="3"/>
        <v/>
      </c>
      <c r="I28" s="6" t="str">
        <f>IF(ISBLANK(B15),"",IF(B15=0,_xll.RssStockOrder(C15,D15,E15,F15,G15,H15,J15,K15,L15,M15,N15,O15,P15,Q15,R15,S15,T15,V15,W15,X15),IF(B15=1,_xll.RssMarginOpenOrder(C15,D15,E15,F15,G15,H15,I15,J15,K15,L15,M15,N15,O15,P15,Q15,R15,S15,T15,V15,U15,W15,X15),"注文種類を選んでください")))</f>
        <v/>
      </c>
      <c r="J28" s="5" t="str">
        <f t="shared" si="5"/>
        <v/>
      </c>
      <c r="K28" s="4"/>
      <c r="L28" s="4"/>
      <c r="M28" s="4"/>
      <c r="N28" s="4"/>
      <c r="O28" s="3"/>
    </row>
    <row r="29" spans="2:24">
      <c r="B29" s="2" t="str">
        <f t="shared" si="2"/>
        <v/>
      </c>
      <c r="C29" s="2" t="str">
        <f t="shared" si="4"/>
        <v/>
      </c>
      <c r="D29" s="2" t="str">
        <f>IF(E16="","",_xll.RssMarket(E16,"銘柄名称"))</f>
        <v/>
      </c>
      <c r="E29" s="2" t="str">
        <f t="shared" si="6"/>
        <v/>
      </c>
      <c r="F29" s="91" t="str">
        <f>IF(K16="","",IF(K16=0,_xll.RssMarket(K16,"現在値"),IF(K16=1,L16)))</f>
        <v/>
      </c>
      <c r="G29" s="91" t="str">
        <f t="shared" si="3"/>
        <v/>
      </c>
      <c r="I29" s="6" t="str">
        <f>IF(ISBLANK(B16),"",IF(B16=0,_xll.RssStockOrder(C16,D16,E16,F16,G16,H16,J16,K16,L16,M16,N16,O16,P16,Q16,R16,S16,T16,V16,W16,X16),IF(B16=1,_xll.RssMarginOpenOrder(C16,D16,E16,F16,G16,H16,I16,J16,K16,L16,M16,N16,O16,P16,Q16,R16,S16,T16,V16,U16,W16,X16),"注文種類を選んでください")))</f>
        <v/>
      </c>
      <c r="J29" s="5" t="str">
        <f t="shared" si="5"/>
        <v/>
      </c>
      <c r="K29" s="4"/>
      <c r="L29" s="4"/>
      <c r="M29" s="4"/>
      <c r="N29" s="4"/>
      <c r="O29" s="3"/>
    </row>
    <row r="30" spans="2:24">
      <c r="B30" s="2" t="str">
        <f t="shared" si="2"/>
        <v/>
      </c>
      <c r="C30" s="2" t="str">
        <f t="shared" si="4"/>
        <v/>
      </c>
      <c r="D30" s="2" t="str">
        <f>IF(E17="","",_xll.RssMarket(E17,"銘柄名称"))</f>
        <v/>
      </c>
      <c r="E30" s="2" t="str">
        <f t="shared" si="6"/>
        <v/>
      </c>
      <c r="F30" s="91" t="str">
        <f>IF(K17="","",IF(K17=0,_xll.RssMarket(K17,"現在値"),IF(K17=1,L17)))</f>
        <v/>
      </c>
      <c r="G30" s="91" t="str">
        <f t="shared" si="3"/>
        <v/>
      </c>
      <c r="I30" s="6" t="str">
        <f>IF(ISBLANK(B17),"",IF(B17=0,_xll.RssStockOrder(C17,D17,E17,F17,G17,H17,J17,K17,L17,M17,N17,O17,P17,Q17,R17,S17,T17,V17,W17,X17),IF(B17=1,_xll.RssMarginOpenOrder(C17,D17,E17,F17,G17,H17,I17,J17,K17,L17,M17,N17,O17,P17,Q17,R17,S17,T17,V17,U17,W17,X17),"注文種類を選んでください")))</f>
        <v/>
      </c>
      <c r="J30" s="5" t="str">
        <f t="shared" si="5"/>
        <v/>
      </c>
      <c r="K30" s="4"/>
      <c r="L30" s="4"/>
      <c r="M30" s="4"/>
      <c r="N30" s="4"/>
      <c r="O30" s="3"/>
    </row>
    <row r="31" spans="2:24">
      <c r="B31" s="2" t="str">
        <f t="shared" si="2"/>
        <v/>
      </c>
      <c r="C31" s="2" t="str">
        <f t="shared" si="4"/>
        <v/>
      </c>
      <c r="D31" s="2" t="str">
        <f>IF(E18="","",_xll.RssMarket(E18,"銘柄名称"))</f>
        <v/>
      </c>
      <c r="E31" s="2" t="str">
        <f t="shared" si="6"/>
        <v/>
      </c>
      <c r="F31" s="91" t="str">
        <f>IF(K18="","",IF(K18=0,_xll.RssMarket(K18,"現在値"),IF(K18=1,L18)))</f>
        <v/>
      </c>
      <c r="G31" s="91" t="str">
        <f t="shared" si="3"/>
        <v/>
      </c>
      <c r="I31" s="6" t="str">
        <f>IF(ISBLANK(B18),"",IF(B18=0,_xll.RssStockOrder(C18,D18,E18,F18,G18,H18,J18,K18,L18,M18,N18,O18,P18,Q18,R18,S18,T18,V18,W18,X18),IF(B18=1,_xll.RssMarginOpenOrder(C18,D18,E18,F18,G18,H18,I18,J18,K18,L18,M18,N18,O18,P18,Q18,R18,S18,T18,V18,U18,W18,X18),"注文種類を選んでください")))</f>
        <v/>
      </c>
      <c r="J31" s="5" t="str">
        <f t="shared" si="5"/>
        <v/>
      </c>
      <c r="K31" s="4"/>
      <c r="L31" s="4"/>
      <c r="M31" s="4"/>
      <c r="N31" s="4"/>
      <c r="O31" s="3"/>
    </row>
    <row r="32" spans="2:24">
      <c r="B32" s="2" t="str">
        <f t="shared" si="2"/>
        <v/>
      </c>
      <c r="C32" s="2" t="str">
        <f t="shared" si="4"/>
        <v/>
      </c>
      <c r="D32" s="2" t="str">
        <f>IF(E19="","",_xll.RssMarket(E19,"銘柄名称"))</f>
        <v/>
      </c>
      <c r="E32" s="2" t="str">
        <f t="shared" si="6"/>
        <v/>
      </c>
      <c r="F32" s="91" t="str">
        <f>IF(K19="","",IF(K19=0,_xll.RssMarket(K19,"現在値"),IF(K19=1,L19)))</f>
        <v/>
      </c>
      <c r="G32" s="91" t="str">
        <f t="shared" si="3"/>
        <v/>
      </c>
      <c r="I32" s="6" t="str">
        <f>IF(ISBLANK(B19),"",IF(B19=0,_xll.RssStockOrder(C19,D19,E19,F19,G19,H19,J19,K19,L19,M19,N19,O19,P19,Q19,R19,S19,T19,V19,W19,X19),IF(B19=1,_xll.RssMarginOpenOrder(C19,D19,E19,F19,G19,H19,I19,J19,K19,L19,M19,N19,O19,P19,Q19,R19,S19,T19,V19,U19,W19,X19),"注文種類を選んでください")))</f>
        <v/>
      </c>
      <c r="J32" s="5" t="str">
        <f t="shared" si="5"/>
        <v/>
      </c>
      <c r="K32" s="4"/>
      <c r="L32" s="4"/>
      <c r="M32" s="4"/>
      <c r="N32" s="4"/>
      <c r="O32" s="3"/>
    </row>
    <row r="33" spans="2:15">
      <c r="B33" s="2" t="str">
        <f t="shared" si="2"/>
        <v/>
      </c>
      <c r="C33" s="2" t="str">
        <f t="shared" si="4"/>
        <v/>
      </c>
      <c r="D33" s="2" t="str">
        <f>IF(E20="","",_xll.RssMarket(E20,"銘柄名称"))</f>
        <v/>
      </c>
      <c r="E33" s="2" t="str">
        <f t="shared" si="6"/>
        <v/>
      </c>
      <c r="F33" s="91" t="str">
        <f>IF(K20="","",IF(K20=0,_xll.RssMarket(K20,"現在値"),IF(K20=1,L20)))</f>
        <v/>
      </c>
      <c r="G33" s="91" t="str">
        <f t="shared" si="3"/>
        <v/>
      </c>
      <c r="I33" s="6" t="str">
        <f>IF(ISBLANK(B20),"",IF(B20=0,_xll.RssStockOrder(C20,D20,E20,F20,G20,H20,J20,K20,L20,M20,N20,O20,P20,Q20,R20,S20,T20,V20,W20,X20),IF(B20=1,_xll.RssMarginOpenOrder(C20,D20,E20,F20,G20,H20,I20,J20,K20,L20,M20,N20,O20,P20,Q20,R20,S20,T20,V20,U20,W20,X20),"注文種類を選んでください")))</f>
        <v/>
      </c>
      <c r="J33" s="5" t="str">
        <f t="shared" si="5"/>
        <v/>
      </c>
      <c r="K33" s="4"/>
      <c r="L33" s="4"/>
      <c r="M33" s="4"/>
      <c r="N33" s="4"/>
      <c r="O33" s="3"/>
    </row>
    <row r="34" spans="2:15">
      <c r="B34" s="2" t="str">
        <f t="shared" si="2"/>
        <v/>
      </c>
      <c r="C34" s="2" t="str">
        <f t="shared" si="4"/>
        <v/>
      </c>
      <c r="D34" s="2" t="str">
        <f>IF(E21="","",_xll.RssMarket(E21,"銘柄名称"))</f>
        <v/>
      </c>
      <c r="E34" s="2" t="str">
        <f t="shared" si="6"/>
        <v/>
      </c>
      <c r="F34" s="91" t="str">
        <f>IF(K21="","",IF(K21=0,_xll.RssMarket(K21,"現在値"),IF(K21=1,L21)))</f>
        <v/>
      </c>
      <c r="G34" s="91" t="str">
        <f t="shared" si="3"/>
        <v/>
      </c>
      <c r="I34" s="6" t="str">
        <f>IF(ISBLANK(B21),"",IF(B21=0,_xll.RssStockOrder(C21,D21,E21,F21,G21,H21,J21,K21,L21,M21,N21,O21,P21,Q21,R21,S21,T21,V21,W21,X21),IF(B21=1,_xll.RssMarginOpenOrder(C21,D21,E21,F21,G21,H21,I21,J21,K21,L21,M21,N21,O21,P21,Q21,R21,S21,T21,V21,U21,W21,X21),"注文種類を選んでください")))</f>
        <v/>
      </c>
      <c r="J34" s="5" t="str">
        <f t="shared" si="5"/>
        <v/>
      </c>
      <c r="K34" s="4"/>
      <c r="L34" s="4"/>
      <c r="M34" s="4"/>
      <c r="N34" s="4"/>
      <c r="O34" s="3"/>
    </row>
    <row r="35" spans="2:15">
      <c r="F35" s="92" t="s">
        <v>1</v>
      </c>
      <c r="G35" s="92">
        <f ca="1">SUMIF($B$25:$G$34,"現物",$G$25:$G$34)</f>
        <v>0</v>
      </c>
    </row>
    <row r="36" spans="2:15">
      <c r="F36" s="92" t="s">
        <v>0</v>
      </c>
      <c r="G36" s="92">
        <f ca="1">SUMIF($B$25:$G$34,"信用",$G$25:$G$34)</f>
        <v>0</v>
      </c>
    </row>
  </sheetData>
  <mergeCells count="1">
    <mergeCell ref="D7:E7"/>
  </mergeCells>
  <phoneticPr fontId="4"/>
  <conditionalFormatting sqref="P12">
    <cfRule type="expression" dxfId="62" priority="46">
      <formula>G12=0</formula>
    </cfRule>
  </conditionalFormatting>
  <conditionalFormatting sqref="Q12">
    <cfRule type="expression" dxfId="61" priority="44">
      <formula>G12=0</formula>
    </cfRule>
  </conditionalFormatting>
  <conditionalFormatting sqref="R12">
    <cfRule type="expression" dxfId="60" priority="43">
      <formula>G12=0</formula>
    </cfRule>
  </conditionalFormatting>
  <conditionalFormatting sqref="W12">
    <cfRule type="expression" dxfId="59" priority="42">
      <formula>T12=0</formula>
    </cfRule>
  </conditionalFormatting>
  <conditionalFormatting sqref="K12:K21">
    <cfRule type="expression" dxfId="58" priority="31">
      <formula>$G12=2</formula>
    </cfRule>
  </conditionalFormatting>
  <conditionalFormatting sqref="L12">
    <cfRule type="expression" dxfId="57" priority="30">
      <formula>G12=2</formula>
    </cfRule>
    <cfRule type="expression" dxfId="56" priority="32">
      <formula>K12&lt;&gt;1</formula>
    </cfRule>
  </conditionalFormatting>
  <conditionalFormatting sqref="L18:L21">
    <cfRule type="expression" dxfId="55" priority="28">
      <formula>G18=2</formula>
    </cfRule>
    <cfRule type="expression" dxfId="54" priority="29">
      <formula>G18=0</formula>
    </cfRule>
  </conditionalFormatting>
  <conditionalFormatting sqref="L13:L17">
    <cfRule type="expression" dxfId="53" priority="26">
      <formula>G13=2</formula>
    </cfRule>
    <cfRule type="expression" dxfId="52" priority="27">
      <formula>K13&lt;&gt;1</formula>
    </cfRule>
  </conditionalFormatting>
  <conditionalFormatting sqref="I12:I21">
    <cfRule type="expression" dxfId="51" priority="24">
      <formula>B12&lt;&gt;1</formula>
    </cfRule>
  </conditionalFormatting>
  <conditionalFormatting sqref="N12:N21">
    <cfRule type="expression" dxfId="50" priority="23">
      <formula>M12&lt;&gt;5</formula>
    </cfRule>
  </conditionalFormatting>
  <conditionalFormatting sqref="S12:S21">
    <cfRule type="expression" dxfId="49" priority="10">
      <formula>R12=0</formula>
    </cfRule>
    <cfRule type="expression" dxfId="48" priority="15">
      <formula>G12=0</formula>
    </cfRule>
  </conditionalFormatting>
  <conditionalFormatting sqref="P13:P21">
    <cfRule type="expression" dxfId="47" priority="14">
      <formula>G13=0</formula>
    </cfRule>
  </conditionalFormatting>
  <conditionalFormatting sqref="Q13:Q21">
    <cfRule type="expression" dxfId="46" priority="13">
      <formula>G13=0</formula>
    </cfRule>
  </conditionalFormatting>
  <conditionalFormatting sqref="R13:R21">
    <cfRule type="expression" dxfId="45" priority="12">
      <formula>G13=0</formula>
    </cfRule>
  </conditionalFormatting>
  <conditionalFormatting sqref="S13:S21">
    <cfRule type="expression" dxfId="44" priority="11">
      <formula>G13=0</formula>
    </cfRule>
  </conditionalFormatting>
  <conditionalFormatting sqref="V12">
    <cfRule type="expression" dxfId="43" priority="9">
      <formula>T12=0</formula>
    </cfRule>
  </conditionalFormatting>
  <conditionalFormatting sqref="U12">
    <cfRule type="expression" dxfId="42" priority="37">
      <formula>T12=0</formula>
    </cfRule>
    <cfRule type="expression" dxfId="41" priority="38">
      <formula>B12=0</formula>
    </cfRule>
  </conditionalFormatting>
  <conditionalFormatting sqref="W13:W21">
    <cfRule type="expression" dxfId="40" priority="6">
      <formula>T13=0</formula>
    </cfRule>
  </conditionalFormatting>
  <conditionalFormatting sqref="V13:V21">
    <cfRule type="expression" dxfId="39" priority="3">
      <formula>T13=0</formula>
    </cfRule>
  </conditionalFormatting>
  <conditionalFormatting sqref="U13:U21">
    <cfRule type="expression" dxfId="38" priority="4">
      <formula>T13=0</formula>
    </cfRule>
    <cfRule type="expression" dxfId="37" priority="5">
      <formula>B13=0</formula>
    </cfRule>
  </conditionalFormatting>
  <conditionalFormatting sqref="X12:X21">
    <cfRule type="expression" dxfId="36" priority="1">
      <formula>W12&lt;&gt;5</formula>
    </cfRule>
    <cfRule type="expression" dxfId="35" priority="2">
      <formula>T12=0</formula>
    </cfRule>
  </conditionalFormatting>
  <dataValidations count="12">
    <dataValidation type="list" allowBlank="1" showInputMessage="1" showErrorMessage="1" errorTitle="売買区分　入力値エラー" error="1，3以外の数値は入力できません" promptTitle="売買区分" prompt="1:売（売建）_x000a_3:買（買建)" sqref="F12:F21" xr:uid="{00000000-0002-0000-0100-000000000000}">
      <formula1>"1,3"</formula1>
    </dataValidation>
    <dataValidation type="list" allowBlank="1" showInputMessage="1" showErrorMessage="1" errorTitle="入力値エラー" error="0，1以外の数値は入力できません" promptTitle="注文種類" prompt="0：現物_x000a_1：信用" sqref="B12:B21" xr:uid="{00000000-0002-0000-0100-000001000000}">
      <formula1>"0,1"</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G12:G21" xr:uid="{00000000-0002-0000-0100-000002000000}">
      <formula1>"0,1,2"</formula1>
    </dataValidation>
    <dataValidation type="list" allowBlank="1" showInputMessage="1" showErrorMessage="1" errorTitle="SOR区分" error="0，1以外の数値は入力できません" promptTitle="SOR区分" prompt="0:通常注文_x000a_1:SOR注文" sqref="H12:H21" xr:uid="{00000000-0002-0000-0100-000003000000}">
      <formula1>"0,1"</formula1>
    </dataValidation>
    <dataValidation type="list" allowBlank="1" showInputMessage="1" showErrorMessage="1" errorTitle="口座区分　入力値エラー" error="0,1,2以外の数値は入力できません" promptTitle="口座区分" prompt="0:特定_x000a_1:一般_x000a_2:NISA" sqref="O12:O21" xr:uid="{00000000-0002-0000-0100-000004000000}">
      <formula1>"0,1,2"</formula1>
    </dataValidation>
    <dataValidation type="list" allowBlank="1" showInputMessage="1" showErrorMessage="1" errorTitle="執行条件　入力値エラー" error="1,2,3,4,5,6,7以外の数値は入力できません" promptTitle="執行条件" prompt="1:本日中_x000a_2:今週中_x000a_3:寄付_x000a_4:引け_x000a_5:期間指定_x000a_6:大引不成_x000a_7:不成" sqref="M12:M21" xr:uid="{00000000-0002-0000-0100-000005000000}">
      <formula1>"1,2,3,4,5,6,7"</formula1>
    </dataValidation>
    <dataValidation type="list" allowBlank="1" showInputMessage="1" showErrorMessage="1" errorTitle="価格区分　入力値エラー" error="0，1以外の数値は入力できません" promptTitle="価格区分" prompt="0：成行_x000a_1：指値" sqref="K12:K21" xr:uid="{00000000-0002-0000-0100-000006000000}">
      <formula1>"0,1"</formula1>
    </dataValidation>
    <dataValidation type="list" allowBlank="1" showInputMessage="1" showErrorMessage="1" errorTitle="逆指値条件区分　入力値エラー" error="1,2以外の数値は入力できません" promptTitle="逆指値条件区分" prompt="1:以上_x000a_2:以下" sqref="Q12:Q21" xr:uid="{00000000-0002-0000-0100-000007000000}">
      <formula1>"1,2"</formula1>
    </dataValidation>
    <dataValidation type="list" allowBlank="1" showInputMessage="1" showErrorMessage="1" errorTitle="逆指値価格区分　入力値エラー" error="0,1以外の数値は入力できません" promptTitle="逆指値価格区分" prompt="0:成行_x000a_1:指値" sqref="R12:R21" xr:uid="{00000000-0002-0000-0100-000008000000}">
      <formula1>"0,1"</formula1>
    </dataValidation>
    <dataValidation type="list" allowBlank="1" showInputMessage="1" showErrorMessage="1" errorTitle="セット注文区分　入力値エラー" error="0,1以外の数値は入力できません" promptTitle="セット注文区分" prompt="0:予約しない_x000a_1:予約する" sqref="T12:T21" xr:uid="{00000000-0002-0000-0100-000009000000}">
      <formula1>"0,1"</formula1>
    </dataValidation>
    <dataValidation type="list" allowBlank="1" showInputMessage="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W12:W21" xr:uid="{00000000-0002-0000-0100-00000A000000}">
      <formula1>"1,2,3,4,5,6,7"</formula1>
    </dataValidation>
    <dataValidation type="list" allowBlank="1" showInputMessage="1" showErrorMessage="1" errorTitle="セット注文価格区分 入力値エラー" error="1,2以外の数値は入力できません" promptTitle="セット注文価格区分" prompt="1:指値_x000a_2:値幅指定_x000a_" sqref="U12:U21" xr:uid="{00000000-0002-0000-0100-00000B000000}">
      <formula1>"1,2"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1"/>
  <sheetViews>
    <sheetView showGridLines="0" topLeftCell="A19" zoomScale="85" zoomScaleNormal="85" workbookViewId="0"/>
  </sheetViews>
  <sheetFormatPr defaultColWidth="9" defaultRowHeight="13.5"/>
  <cols>
    <col min="1" max="1" width="4" style="1" customWidth="1"/>
    <col min="2" max="2" width="8.5" style="1" customWidth="1"/>
    <col min="3" max="3" width="11.75" style="1" bestFit="1" customWidth="1"/>
    <col min="4" max="4" width="8.25" style="1" bestFit="1" customWidth="1"/>
    <col min="5" max="5" width="7.5" style="1" bestFit="1" customWidth="1"/>
    <col min="6" max="7" width="8.25" style="1" bestFit="1" customWidth="1"/>
    <col min="8" max="8" width="11.33203125" style="1" bestFit="1" customWidth="1"/>
    <col min="9" max="9" width="11.58203125" style="1" bestFit="1" customWidth="1"/>
    <col min="10" max="10" width="10" style="1" customWidth="1"/>
    <col min="11" max="11" width="9.5" style="1" bestFit="1" customWidth="1"/>
    <col min="12" max="12" width="11" style="1" bestFit="1" customWidth="1"/>
    <col min="13" max="13" width="10.5" style="1" customWidth="1"/>
    <col min="14" max="14" width="15" style="1" customWidth="1"/>
    <col min="15" max="15" width="15.33203125" style="1" bestFit="1" customWidth="1"/>
    <col min="16" max="17" width="17.5" style="1" bestFit="1" customWidth="1"/>
    <col min="18" max="19" width="15.33203125" style="1" bestFit="1" customWidth="1"/>
    <col min="20" max="16384" width="9" style="1"/>
  </cols>
  <sheetData>
    <row r="1" spans="1:20">
      <c r="A1" s="28"/>
    </row>
    <row r="2" spans="1:20" ht="22">
      <c r="A2" s="28"/>
      <c r="B2" s="25" t="s">
        <v>53</v>
      </c>
    </row>
    <row r="3" spans="1:20" ht="18">
      <c r="B3" s="24" t="s">
        <v>42</v>
      </c>
    </row>
    <row r="4" spans="1:20" ht="18">
      <c r="B4" s="24" t="s">
        <v>41</v>
      </c>
    </row>
    <row r="5" spans="1:20" ht="18">
      <c r="B5" s="24" t="s">
        <v>40</v>
      </c>
    </row>
    <row r="6" spans="1:20" ht="15">
      <c r="N6" s="23" t="str">
        <f>_xll.RssFOPCapacityList($N$7:$S$7)</f>
        <v>=@RssFOPCapacityList($N$7:$S$7) =&gt; 接続待ち</v>
      </c>
      <c r="O6" s="23"/>
      <c r="P6" s="23"/>
      <c r="Q6" s="23"/>
      <c r="R6" s="23"/>
      <c r="S6" s="23"/>
    </row>
    <row r="7" spans="1:20" ht="15">
      <c r="C7" s="107" t="s">
        <v>39</v>
      </c>
      <c r="D7" s="108"/>
      <c r="N7" s="22" t="s">
        <v>210</v>
      </c>
      <c r="O7" s="22" t="s">
        <v>211</v>
      </c>
      <c r="P7" s="22" t="s">
        <v>212</v>
      </c>
      <c r="Q7" s="22" t="s">
        <v>213</v>
      </c>
      <c r="R7" s="22" t="s">
        <v>214</v>
      </c>
      <c r="S7" s="22" t="s">
        <v>215</v>
      </c>
    </row>
    <row r="8" spans="1:20" ht="15">
      <c r="C8" s="21">
        <v>0</v>
      </c>
      <c r="D8" s="20" t="str">
        <f>IF(ISBLANK(C8),"",IF(OR(C8=0,C8=FALSE),"待機中",IF(OR(C8=1,C8=TRUE),"発注","")))</f>
        <v>待機中</v>
      </c>
      <c r="N8" s="19"/>
      <c r="O8" s="19"/>
      <c r="P8" s="19"/>
      <c r="Q8" s="19"/>
      <c r="R8" s="19"/>
      <c r="S8" s="19"/>
    </row>
    <row r="9" spans="1:20" ht="15">
      <c r="B9" s="27"/>
      <c r="N9" s="18" t="s">
        <v>220</v>
      </c>
      <c r="O9" s="18" t="s">
        <v>221</v>
      </c>
      <c r="P9" s="18" t="s">
        <v>220</v>
      </c>
      <c r="Q9" s="18" t="s">
        <v>52</v>
      </c>
      <c r="R9" s="18" t="s">
        <v>221</v>
      </c>
      <c r="S9" s="18" t="s">
        <v>221</v>
      </c>
    </row>
    <row r="10" spans="1:20" ht="16">
      <c r="B10" s="12" t="s">
        <v>33</v>
      </c>
    </row>
    <row r="11" spans="1:20">
      <c r="A11" s="15"/>
      <c r="B11" s="11" t="s">
        <v>8</v>
      </c>
      <c r="C11" s="11" t="s">
        <v>51</v>
      </c>
      <c r="D11" s="2" t="s">
        <v>47</v>
      </c>
      <c r="E11" s="2" t="s">
        <v>46</v>
      </c>
      <c r="F11" s="2" t="s">
        <v>50</v>
      </c>
      <c r="G11" s="2" t="s">
        <v>45</v>
      </c>
      <c r="H11" s="11" t="s">
        <v>29</v>
      </c>
      <c r="I11" s="11" t="s">
        <v>49</v>
      </c>
      <c r="J11" s="11" t="s">
        <v>48</v>
      </c>
      <c r="K11" s="11" t="s">
        <v>6</v>
      </c>
      <c r="L11" s="11" t="s">
        <v>24</v>
      </c>
      <c r="M11" s="11" t="s">
        <v>5</v>
      </c>
      <c r="N11" s="2" t="s">
        <v>174</v>
      </c>
      <c r="O11" s="94" t="s">
        <v>175</v>
      </c>
      <c r="P11" s="11" t="s">
        <v>22</v>
      </c>
      <c r="Q11" s="17" t="s">
        <v>20</v>
      </c>
      <c r="R11" s="17" t="s">
        <v>19</v>
      </c>
      <c r="S11" s="17" t="s">
        <v>18</v>
      </c>
      <c r="T11" s="17" t="s">
        <v>17</v>
      </c>
    </row>
    <row r="12" spans="1:20" s="15" customFormat="1" ht="15">
      <c r="A12" s="1"/>
      <c r="B12" s="14"/>
      <c r="C12" s="14" t="str">
        <f t="shared" ref="C12:C19" si="0">IF(D12="","",$C$8)</f>
        <v/>
      </c>
      <c r="D12" s="93"/>
      <c r="E12" s="13"/>
      <c r="F12" s="13"/>
      <c r="G12" s="13"/>
      <c r="H12" s="14" t="str">
        <f>IF(D12="","",_xll.RssFOPCode(D12,E12,F12,G12))</f>
        <v/>
      </c>
      <c r="I12" s="88"/>
      <c r="J12" s="88"/>
      <c r="K12" s="13"/>
      <c r="L12" s="88"/>
      <c r="M12" s="13"/>
      <c r="N12" s="88"/>
      <c r="O12" s="88"/>
      <c r="P12" s="13"/>
      <c r="Q12" s="13"/>
      <c r="R12" s="88"/>
      <c r="S12" s="88"/>
      <c r="T12" s="13"/>
    </row>
    <row r="13" spans="1:20" ht="15">
      <c r="B13" s="14" t="str">
        <f t="shared" ref="B13:B19" si="1">IF($B$12="","",B12+1)</f>
        <v/>
      </c>
      <c r="C13" s="14" t="str">
        <f t="shared" si="0"/>
        <v/>
      </c>
      <c r="D13" s="93"/>
      <c r="E13" s="13"/>
      <c r="F13" s="13"/>
      <c r="G13" s="13"/>
      <c r="H13" s="14" t="str">
        <f>IF(D13="","",_xll.RssFOPCode(D13,E13,F13,G13))</f>
        <v/>
      </c>
      <c r="I13" s="88"/>
      <c r="J13" s="88"/>
      <c r="K13" s="13"/>
      <c r="L13" s="88"/>
      <c r="M13" s="13"/>
      <c r="N13" s="88"/>
      <c r="O13" s="88"/>
      <c r="P13" s="13"/>
      <c r="Q13" s="13"/>
      <c r="R13" s="88"/>
      <c r="S13" s="88"/>
      <c r="T13" s="13"/>
    </row>
    <row r="14" spans="1:20" ht="15">
      <c r="B14" s="14" t="str">
        <f t="shared" si="1"/>
        <v/>
      </c>
      <c r="C14" s="14" t="str">
        <f t="shared" si="0"/>
        <v/>
      </c>
      <c r="D14" s="93"/>
      <c r="E14" s="13"/>
      <c r="F14" s="13"/>
      <c r="G14" s="13"/>
      <c r="H14" s="14" t="str">
        <f>IF(D14="","",_xll.RssFOPCode(D14,E14,F14,G14))</f>
        <v/>
      </c>
      <c r="I14" s="88"/>
      <c r="J14" s="88"/>
      <c r="K14" s="13"/>
      <c r="L14" s="88"/>
      <c r="M14" s="13"/>
      <c r="N14" s="88"/>
      <c r="O14" s="88"/>
      <c r="P14" s="13"/>
      <c r="Q14" s="13"/>
      <c r="R14" s="88"/>
      <c r="S14" s="88"/>
      <c r="T14" s="13"/>
    </row>
    <row r="15" spans="1:20" ht="15">
      <c r="B15" s="14" t="str">
        <f t="shared" si="1"/>
        <v/>
      </c>
      <c r="C15" s="14" t="str">
        <f t="shared" si="0"/>
        <v/>
      </c>
      <c r="D15" s="93"/>
      <c r="E15" s="13"/>
      <c r="F15" s="13"/>
      <c r="G15" s="13"/>
      <c r="H15" s="14" t="str">
        <f>IF(D15="","",_xll.RssFOPCode(D15,E15,F15,G15))</f>
        <v/>
      </c>
      <c r="I15" s="88"/>
      <c r="J15" s="88"/>
      <c r="K15" s="13"/>
      <c r="L15" s="88"/>
      <c r="M15" s="13"/>
      <c r="N15" s="88"/>
      <c r="O15" s="88"/>
      <c r="P15" s="13"/>
      <c r="Q15" s="13"/>
      <c r="R15" s="88"/>
      <c r="S15" s="88"/>
      <c r="T15" s="13"/>
    </row>
    <row r="16" spans="1:20" ht="15">
      <c r="B16" s="14" t="str">
        <f t="shared" si="1"/>
        <v/>
      </c>
      <c r="C16" s="14" t="str">
        <f t="shared" si="0"/>
        <v/>
      </c>
      <c r="D16" s="93"/>
      <c r="E16" s="13"/>
      <c r="F16" s="13"/>
      <c r="G16" s="13"/>
      <c r="H16" s="14" t="str">
        <f>IF(D16="","",_xll.RssFOPCode(D16,E16,F16,G16))</f>
        <v/>
      </c>
      <c r="I16" s="88"/>
      <c r="J16" s="88"/>
      <c r="K16" s="13"/>
      <c r="L16" s="88"/>
      <c r="M16" s="13"/>
      <c r="N16" s="88"/>
      <c r="O16" s="88"/>
      <c r="P16" s="13"/>
      <c r="Q16" s="13"/>
      <c r="R16" s="88"/>
      <c r="S16" s="88"/>
      <c r="T16" s="13"/>
    </row>
    <row r="17" spans="1:20" ht="15">
      <c r="B17" s="14" t="str">
        <f t="shared" si="1"/>
        <v/>
      </c>
      <c r="C17" s="14" t="str">
        <f t="shared" si="0"/>
        <v/>
      </c>
      <c r="D17" s="93"/>
      <c r="E17" s="13"/>
      <c r="F17" s="13"/>
      <c r="G17" s="13"/>
      <c r="H17" s="14" t="str">
        <f>IF(D17="","",_xll.RssFOPCode(D17,E17,F17,G17))</f>
        <v/>
      </c>
      <c r="I17" s="88"/>
      <c r="J17" s="88"/>
      <c r="K17" s="13"/>
      <c r="L17" s="88"/>
      <c r="M17" s="13"/>
      <c r="N17" s="88"/>
      <c r="O17" s="88"/>
      <c r="P17" s="13"/>
      <c r="Q17" s="13"/>
      <c r="R17" s="88"/>
      <c r="S17" s="88"/>
      <c r="T17" s="13"/>
    </row>
    <row r="18" spans="1:20" ht="15">
      <c r="B18" s="14" t="str">
        <f t="shared" si="1"/>
        <v/>
      </c>
      <c r="C18" s="14" t="str">
        <f t="shared" si="0"/>
        <v/>
      </c>
      <c r="D18" s="93"/>
      <c r="E18" s="13"/>
      <c r="F18" s="13"/>
      <c r="G18" s="13"/>
      <c r="H18" s="14" t="str">
        <f>IF(D18="","",_xll.RssFOPCode(D18,E18,F18,G18))</f>
        <v/>
      </c>
      <c r="I18" s="88"/>
      <c r="J18" s="88"/>
      <c r="K18" s="13"/>
      <c r="L18" s="88"/>
      <c r="M18" s="13"/>
      <c r="N18" s="88"/>
      <c r="O18" s="88"/>
      <c r="P18" s="13"/>
      <c r="Q18" s="13"/>
      <c r="R18" s="88"/>
      <c r="S18" s="88"/>
      <c r="T18" s="13"/>
    </row>
    <row r="19" spans="1:20" ht="15">
      <c r="B19" s="14" t="str">
        <f t="shared" si="1"/>
        <v/>
      </c>
      <c r="C19" s="14" t="str">
        <f t="shared" si="0"/>
        <v/>
      </c>
      <c r="D19" s="93"/>
      <c r="E19" s="13"/>
      <c r="F19" s="13"/>
      <c r="G19" s="13"/>
      <c r="H19" s="14" t="str">
        <f>IF(D19="","",_xll.RssFOPCode(D19,E19,F19,G19))</f>
        <v/>
      </c>
      <c r="I19" s="88"/>
      <c r="J19" s="88"/>
      <c r="K19" s="13"/>
      <c r="L19" s="88"/>
      <c r="M19" s="13"/>
      <c r="N19" s="88"/>
      <c r="O19" s="88"/>
      <c r="P19" s="13"/>
      <c r="Q19" s="13"/>
      <c r="R19" s="88"/>
      <c r="S19" s="88"/>
      <c r="T19" s="13"/>
    </row>
    <row r="21" spans="1:20" ht="16">
      <c r="B21" s="12" t="s">
        <v>11</v>
      </c>
      <c r="K21" s="12" t="s">
        <v>10</v>
      </c>
    </row>
    <row r="22" spans="1:20">
      <c r="B22" s="2" t="s">
        <v>8</v>
      </c>
      <c r="C22" s="109" t="s">
        <v>208</v>
      </c>
      <c r="D22" s="110"/>
      <c r="E22" s="111"/>
      <c r="F22" s="2" t="s">
        <v>6</v>
      </c>
      <c r="G22" s="2" t="s">
        <v>5</v>
      </c>
      <c r="H22" s="2" t="s">
        <v>4</v>
      </c>
      <c r="J22" s="2" t="s">
        <v>3</v>
      </c>
      <c r="K22" s="10" t="s">
        <v>2</v>
      </c>
      <c r="L22" s="10"/>
      <c r="M22" s="10"/>
      <c r="N22" s="10"/>
      <c r="O22" s="10"/>
      <c r="P22" s="9"/>
    </row>
    <row r="23" spans="1:20">
      <c r="B23" s="2" t="str">
        <f>IF($B$12="","",B12)</f>
        <v/>
      </c>
      <c r="C23" s="109" t="str">
        <f>IF(H12="","",_xll.RssFOPMarket(H12, "銘柄名称"))</f>
        <v/>
      </c>
      <c r="D23" s="110"/>
      <c r="E23" s="111"/>
      <c r="F23" s="2" t="str">
        <f>IF(K12="","",K12)</f>
        <v/>
      </c>
      <c r="G23" s="2" t="str">
        <f>IF(L12="","",IF(L12=0,_xll.RssFOPMarket(H12, "現在値"),M12))</f>
        <v/>
      </c>
      <c r="H23" s="2" t="str">
        <f>IF(F23="","",F23*G23)</f>
        <v/>
      </c>
      <c r="J23" s="26" t="str">
        <f>IF(ISBLANK(D12),"",_xll.RssFOPOpenOrder(B12,C12,H12,I12,J12,K12,L12,M12,N12,O12,P12,Q12,R12,S12,T12))</f>
        <v/>
      </c>
      <c r="K23" s="5" t="str">
        <f t="shared" ref="K23:K30" si="2">IF(ISBLANK(D12),"",RIGHT(J23,LEN(J23)-97))</f>
        <v/>
      </c>
      <c r="L23" s="8"/>
      <c r="M23" s="8"/>
      <c r="N23" s="8"/>
      <c r="O23" s="8"/>
      <c r="P23" s="7"/>
    </row>
    <row r="24" spans="1:20">
      <c r="B24" s="2" t="str">
        <f t="shared" ref="B24:B30" si="3">B13</f>
        <v/>
      </c>
      <c r="C24" s="109" t="str">
        <f>IF(H13="","",_xll.RssFOPMarket(H13, "銘柄名称"))</f>
        <v/>
      </c>
      <c r="D24" s="110"/>
      <c r="E24" s="111"/>
      <c r="F24" s="2" t="str">
        <f t="shared" ref="F24:F30" si="4">IF(K13="","",K13)</f>
        <v/>
      </c>
      <c r="G24" s="2" t="str">
        <f>IF(L13="","",IF(L13=0,_xll.RssFOPMarket(H13, "現在値"),M13))</f>
        <v/>
      </c>
      <c r="H24" s="2" t="str">
        <f t="shared" ref="H24:H30" si="5">IF(F24="","",F24*G24)</f>
        <v/>
      </c>
      <c r="J24" s="26" t="str">
        <f>IF(ISBLANK(D13),"",_xll.RssFOPOpenOrder(B13,C13,H13,I13,J13,K13,L13,M13,N13,O13,P13,Q13,R13,S13,T13))</f>
        <v/>
      </c>
      <c r="K24" s="5" t="str">
        <f t="shared" si="2"/>
        <v/>
      </c>
      <c r="L24" s="4"/>
      <c r="M24" s="4"/>
      <c r="N24" s="4"/>
      <c r="O24" s="4"/>
      <c r="P24" s="3"/>
    </row>
    <row r="25" spans="1:20">
      <c r="B25" s="2" t="str">
        <f t="shared" si="3"/>
        <v/>
      </c>
      <c r="C25" s="109" t="str">
        <f>IF(H14="","",_xll.RssFOPMarket(H14, "銘柄名称"))</f>
        <v/>
      </c>
      <c r="D25" s="110"/>
      <c r="E25" s="111"/>
      <c r="F25" s="2" t="str">
        <f t="shared" si="4"/>
        <v/>
      </c>
      <c r="G25" s="2" t="str">
        <f>IF(L14="","",IF(L14=0,_xll.RssFOPMarket(H14, "現在値"),M14))</f>
        <v/>
      </c>
      <c r="H25" s="2" t="str">
        <f t="shared" si="5"/>
        <v/>
      </c>
      <c r="J25" s="26" t="str">
        <f>IF(ISBLANK(D14),"",_xll.RssFOPOpenOrder(B14,C14,H14,I14,J14,K14,L14,M14,N14,O14,P14,Q14,R14,S14,T14))</f>
        <v/>
      </c>
      <c r="K25" s="5" t="str">
        <f t="shared" si="2"/>
        <v/>
      </c>
      <c r="L25" s="4"/>
      <c r="M25" s="4"/>
      <c r="N25" s="4"/>
      <c r="O25" s="4"/>
      <c r="P25" s="3"/>
      <c r="S25" s="15"/>
    </row>
    <row r="26" spans="1:20" s="15" customFormat="1">
      <c r="A26" s="1"/>
      <c r="B26" s="2" t="str">
        <f t="shared" si="3"/>
        <v/>
      </c>
      <c r="C26" s="109" t="str">
        <f>IF(H15="","",_xll.RssFOPMarket(H15, "銘柄名称"))</f>
        <v/>
      </c>
      <c r="D26" s="110"/>
      <c r="E26" s="111"/>
      <c r="F26" s="2" t="str">
        <f t="shared" si="4"/>
        <v/>
      </c>
      <c r="G26" s="2" t="str">
        <f>IF(L15="","",IF(L15=0,_xll.RssFOPMarket(H15, "現在値"),M15))</f>
        <v/>
      </c>
      <c r="H26" s="2" t="str">
        <f t="shared" si="5"/>
        <v/>
      </c>
      <c r="I26" s="1"/>
      <c r="J26" s="26" t="str">
        <f>IF(ISBLANK(D15),"",_xll.RssFOPOpenOrder(B15,C15,H15,I15,J15,K15,L15,M15,N15,O15,P15,Q15,R15,S15,T15))</f>
        <v/>
      </c>
      <c r="K26" s="5" t="str">
        <f t="shared" si="2"/>
        <v/>
      </c>
      <c r="L26" s="4"/>
      <c r="M26" s="4"/>
      <c r="N26" s="4"/>
      <c r="O26" s="4"/>
      <c r="P26" s="3"/>
      <c r="Q26" s="1"/>
      <c r="R26" s="1"/>
      <c r="S26" s="1"/>
    </row>
    <row r="27" spans="1:20">
      <c r="B27" s="2" t="str">
        <f t="shared" si="3"/>
        <v/>
      </c>
      <c r="C27" s="109" t="str">
        <f>IF(H16="","",_xll.RssFOPMarket(H16, "銘柄名称"))</f>
        <v/>
      </c>
      <c r="D27" s="110"/>
      <c r="E27" s="111"/>
      <c r="F27" s="2" t="str">
        <f t="shared" si="4"/>
        <v/>
      </c>
      <c r="G27" s="2" t="str">
        <f>IF(L16="","",IF(L16=0,_xll.RssFOPMarket(H16, "現在値"),M16))</f>
        <v/>
      </c>
      <c r="H27" s="2" t="str">
        <f t="shared" si="5"/>
        <v/>
      </c>
      <c r="J27" s="26" t="str">
        <f>IF(ISBLANK(D16),"",_xll.RssFOPOpenOrder(B16,C16,H16,I16,J16,K16,L16,M16,N16,O16,P16,Q16,R16,S16,T16))</f>
        <v/>
      </c>
      <c r="K27" s="5" t="str">
        <f t="shared" si="2"/>
        <v/>
      </c>
      <c r="L27" s="4"/>
      <c r="M27" s="4"/>
      <c r="N27" s="4"/>
      <c r="O27" s="4"/>
      <c r="P27" s="3"/>
    </row>
    <row r="28" spans="1:20">
      <c r="B28" s="2" t="str">
        <f t="shared" si="3"/>
        <v/>
      </c>
      <c r="C28" s="109" t="str">
        <f>IF(H17="","",_xll.RssFOPMarket(H17, "銘柄名称"))</f>
        <v/>
      </c>
      <c r="D28" s="110"/>
      <c r="E28" s="111"/>
      <c r="F28" s="2" t="str">
        <f t="shared" si="4"/>
        <v/>
      </c>
      <c r="G28" s="2" t="str">
        <f>IF(L17="","",IF(L17=0,_xll.RssFOPMarket(H17, "現在値"),M17))</f>
        <v/>
      </c>
      <c r="H28" s="2" t="str">
        <f t="shared" si="5"/>
        <v/>
      </c>
      <c r="J28" s="26" t="str">
        <f>IF(ISBLANK(D17),"",_xll.RssFOPOpenOrder(B17,C17,H17,I17,J17,K17,L17,M17,N17,O17,P17,Q17,R17,S17,T17))</f>
        <v/>
      </c>
      <c r="K28" s="5" t="str">
        <f t="shared" si="2"/>
        <v/>
      </c>
      <c r="L28" s="4"/>
      <c r="M28" s="4"/>
      <c r="N28" s="4"/>
      <c r="O28" s="4"/>
      <c r="P28" s="3"/>
    </row>
    <row r="29" spans="1:20">
      <c r="B29" s="2" t="str">
        <f t="shared" si="3"/>
        <v/>
      </c>
      <c r="C29" s="109" t="str">
        <f>IF(H18="","",_xll.RssFOPMarket(H18, "銘柄名称"))</f>
        <v/>
      </c>
      <c r="D29" s="110"/>
      <c r="E29" s="111"/>
      <c r="F29" s="2" t="str">
        <f t="shared" si="4"/>
        <v/>
      </c>
      <c r="G29" s="2" t="str">
        <f>IF(L18="","",IF(L18=0,_xll.RssFOPMarket(H18, "現在値"),M18))</f>
        <v/>
      </c>
      <c r="H29" s="2" t="str">
        <f t="shared" si="5"/>
        <v/>
      </c>
      <c r="J29" s="26" t="str">
        <f>IF(ISBLANK(D18),"",_xll.RssFOPOpenOrder(B18,C18,H18,I18,J18,K18,L18,M18,N18,O18,P18,Q18,R18,S18,T18))</f>
        <v/>
      </c>
      <c r="K29" s="5" t="str">
        <f t="shared" si="2"/>
        <v/>
      </c>
      <c r="L29" s="4"/>
      <c r="M29" s="4"/>
      <c r="N29" s="4"/>
      <c r="O29" s="4"/>
      <c r="P29" s="3"/>
    </row>
    <row r="30" spans="1:20">
      <c r="B30" s="2" t="str">
        <f t="shared" si="3"/>
        <v/>
      </c>
      <c r="C30" s="109" t="str">
        <f>IF(H19="","",_xll.RssFOPMarket(H19, "銘柄名称"))</f>
        <v/>
      </c>
      <c r="D30" s="110"/>
      <c r="E30" s="111"/>
      <c r="F30" s="2" t="str">
        <f t="shared" si="4"/>
        <v/>
      </c>
      <c r="G30" s="2" t="str">
        <f>IF(L19="","",IF(L19=0,_xll.RssFOPMarket(H19, "現在値"),M19))</f>
        <v/>
      </c>
      <c r="H30" s="2" t="str">
        <f t="shared" si="5"/>
        <v/>
      </c>
      <c r="J30" s="26" t="str">
        <f>IF(ISBLANK(D19),"",_xll.RssFOPOpenOrder(B19,C19,H19,I19,J19,K19,L19,M19,N19,O19,P19,Q19,R19,S19,T19))</f>
        <v/>
      </c>
      <c r="K30" s="5" t="str">
        <f t="shared" si="2"/>
        <v/>
      </c>
      <c r="L30" s="4"/>
      <c r="M30" s="4"/>
      <c r="N30" s="4"/>
      <c r="O30" s="4"/>
      <c r="P30" s="3"/>
    </row>
    <row r="31" spans="1:20">
      <c r="G31" s="2" t="s">
        <v>44</v>
      </c>
      <c r="H31" s="2">
        <f>SUM(H23:H30)</f>
        <v>0</v>
      </c>
    </row>
  </sheetData>
  <mergeCells count="10">
    <mergeCell ref="C7:D7"/>
    <mergeCell ref="C22:E22"/>
    <mergeCell ref="C23:E23"/>
    <mergeCell ref="C24:E24"/>
    <mergeCell ref="C25:E25"/>
    <mergeCell ref="C26:E26"/>
    <mergeCell ref="C27:E27"/>
    <mergeCell ref="C28:E28"/>
    <mergeCell ref="C29:E29"/>
    <mergeCell ref="C30:E30"/>
  </mergeCells>
  <phoneticPr fontId="4"/>
  <conditionalFormatting sqref="R12">
    <cfRule type="expression" dxfId="34" priority="19">
      <formula>J12=0</formula>
    </cfRule>
  </conditionalFormatting>
  <conditionalFormatting sqref="S12:S19">
    <cfRule type="expression" dxfId="33" priority="18">
      <formula>J12=0</formula>
    </cfRule>
  </conditionalFormatting>
  <conditionalFormatting sqref="P12:P19">
    <cfRule type="expression" dxfId="32" priority="17">
      <formula>O12&lt;&gt;5</formula>
    </cfRule>
  </conditionalFormatting>
  <conditionalFormatting sqref="T12:T19">
    <cfRule type="expression" dxfId="31" priority="15">
      <formula>J12=0</formula>
    </cfRule>
    <cfRule type="expression" dxfId="30" priority="16">
      <formula>S12=0</formula>
    </cfRule>
  </conditionalFormatting>
  <conditionalFormatting sqref="Q12">
    <cfRule type="expression" dxfId="29" priority="14">
      <formula>J12=0</formula>
    </cfRule>
  </conditionalFormatting>
  <conditionalFormatting sqref="R13:R19">
    <cfRule type="expression" dxfId="28" priority="13">
      <formula>J13=0</formula>
    </cfRule>
  </conditionalFormatting>
  <conditionalFormatting sqref="S13:S19">
    <cfRule type="expression" dxfId="27" priority="12">
      <formula>J13=0</formula>
    </cfRule>
  </conditionalFormatting>
  <conditionalFormatting sqref="Q13:Q19">
    <cfRule type="expression" dxfId="26" priority="11">
      <formula>J13=0</formula>
    </cfRule>
  </conditionalFormatting>
  <conditionalFormatting sqref="M12">
    <cfRule type="expression" dxfId="25" priority="10">
      <formula>L12=0</formula>
    </cfRule>
  </conditionalFormatting>
  <conditionalFormatting sqref="M19">
    <cfRule type="expression" dxfId="24" priority="1">
      <formula>L19=0</formula>
    </cfRule>
  </conditionalFormatting>
  <conditionalFormatting sqref="M13">
    <cfRule type="expression" dxfId="23" priority="7">
      <formula>L13=0</formula>
    </cfRule>
  </conditionalFormatting>
  <conditionalFormatting sqref="M14">
    <cfRule type="expression" dxfId="22" priority="6">
      <formula>L14=0</formula>
    </cfRule>
  </conditionalFormatting>
  <conditionalFormatting sqref="M15">
    <cfRule type="expression" dxfId="21" priority="5">
      <formula>L15=0</formula>
    </cfRule>
  </conditionalFormatting>
  <conditionalFormatting sqref="M16">
    <cfRule type="expression" dxfId="20" priority="4">
      <formula>L16=0</formula>
    </cfRule>
  </conditionalFormatting>
  <conditionalFormatting sqref="M17">
    <cfRule type="expression" dxfId="19" priority="3">
      <formula>L17=0</formula>
    </cfRule>
  </conditionalFormatting>
  <conditionalFormatting sqref="M18">
    <cfRule type="expression" dxfId="18" priority="2">
      <formula>L18=0</formula>
    </cfRule>
  </conditionalFormatting>
  <dataValidations count="8">
    <dataValidation type="list" allowBlank="1" showInputMessage="1" showErrorMessage="1" errorTitle="売買区分　入力値エラー" error="1，3以外の数値は入力できません" promptTitle="売買区分" prompt="1:売（売建）_x000a_3:買（買建)" sqref="I12:I19" xr:uid="{00000000-0002-0000-0200-000000000000}">
      <formula1>"1,3"</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J12:J19" xr:uid="{00000000-0002-0000-0200-000001000000}">
      <formula1>"0,1,2"</formula1>
    </dataValidation>
    <dataValidation type="list" allowBlank="1" showInputMessage="1" showErrorMessage="1" errorTitle="価格区分　入力値エラー" error="0，1以外の数値は入力できません" promptTitle="価格区分" prompt="0：成行_x000a_1：指値" sqref="L12:L19" xr:uid="{00000000-0002-0000-0200-000002000000}">
      <formula1>"0,1"</formula1>
    </dataValidation>
    <dataValidation type="list" allowBlank="1" showInputMessage="1" showErrorMessage="1" errorTitle="逆指値条件区分　入力値エラー" error="1,2以外の数値は入力できません" promptTitle="逆指値条件区分" prompt="1:以上_x000a_2:以下" sqref="R12:R19" xr:uid="{00000000-0002-0000-0200-000003000000}">
      <formula1>"1,2"</formula1>
    </dataValidation>
    <dataValidation type="list" allowBlank="1" showInputMessage="1" showErrorMessage="1" errorTitle="逆指値価格区分　入力値エラー" error="0,1以外の数値は入力できません" promptTitle="逆指値価格区分" prompt="0:成行_x000a_1:指値" sqref="S12:S19" xr:uid="{00000000-0002-0000-0200-000004000000}">
      <formula1>"0,1"</formula1>
    </dataValidation>
    <dataValidation type="list" allowBlank="1" showInputMessage="1" showErrorMessage="1" errorTitle="執行数量条件　入力値エラー" error="1,2,3以外の数値は入力できません" promptTitle="執行数量条件" prompt="1:FOK_x000a_2:FAK_x000a_3:FAS" sqref="N12:N19" xr:uid="{00000000-0002-0000-0200-000005000000}">
      <formula1>"1,2,3"</formula1>
    </dataValidation>
    <dataValidation type="list" allowBlank="1" showInputMessage="1" showErrorMessage="1" errorTitle="執行時間条件 入力値エラー" error="1,4,5,9以外の数値は入力できません" promptTitle="執行時間条件" prompt="1:当セッション_x000a_4:引け_x000a_5:期間指定_x000a_9:取引最終日" sqref="O12:O19" xr:uid="{00000000-0002-0000-0200-000006000000}">
      <formula1>"1,4,5,9"</formula1>
    </dataValidation>
    <dataValidation type="list" allowBlank="1" showInputMessage="1" showErrorMessage="1" errorTitle="銘柄種類　入力値エラー" error="入力されたコードが正しくありません" promptTitle="銘柄種類" prompt="N225F:日経225先物_x000a_N225MF:日経225先物ミニ_x000a_MOTF:東証マザーズ先物_x000a_N225OP:日経225オプション_x000a_TOPXF:TOPIX先物_x000a_JN400F:JPX日経400先物_x000a_GOLDF:金_x000a_GOLDMINIF:金ミニ_x000a_上記以外についてはヘルプをご参照ください_x000a__x000a__x000a__x000a_" sqref="D12:D19" xr:uid="{00000000-0002-0000-0200-000007000000}">
      <formula1>"N225F,N225MF,MOTF,N225OP,TOPXF,JN400F,GOLDF,GOLDMINIF,GOLDSPOTF,PLATINUMF,PLATINUMMINIF,PLATINUMSPOTF,SILVERF,PALLADIUMF,RSS3F,TSR20F,REDBEANF,SOYBEANF,CORNF"</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A152"/>
  <sheetViews>
    <sheetView showGridLines="0" tabSelected="1" topLeftCell="N10" zoomScaleNormal="100" workbookViewId="0">
      <selection activeCell="T20" sqref="T20"/>
    </sheetView>
  </sheetViews>
  <sheetFormatPr defaultColWidth="9" defaultRowHeight="15"/>
  <cols>
    <col min="1" max="1" width="3.83203125" style="23" customWidth="1"/>
    <col min="2" max="2" width="16.08203125" style="23" customWidth="1"/>
    <col min="3" max="3" width="11.5" style="23" bestFit="1" customWidth="1"/>
    <col min="4" max="4" width="9.5" style="23" bestFit="1" customWidth="1"/>
    <col min="5" max="5" width="12.08203125" style="23" customWidth="1"/>
    <col min="6" max="6" width="13.5" style="23" bestFit="1" customWidth="1"/>
    <col min="7" max="7" width="11.25" style="23" customWidth="1"/>
    <col min="8" max="8" width="12.08203125" style="23" bestFit="1" customWidth="1"/>
    <col min="9" max="10" width="9.83203125" style="23" bestFit="1" customWidth="1"/>
    <col min="11" max="12" width="10.5" style="23" bestFit="1" customWidth="1"/>
    <col min="13" max="13" width="5" style="23" customWidth="1"/>
    <col min="14" max="14" width="15.75" style="23" customWidth="1"/>
    <col min="15" max="15" width="9.33203125" style="23" bestFit="1" customWidth="1"/>
    <col min="16" max="16" width="10" style="23" bestFit="1" customWidth="1"/>
    <col min="17" max="17" width="9" style="23" customWidth="1"/>
    <col min="18" max="18" width="15.3320312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3203125" style="23" bestFit="1" customWidth="1"/>
    <col min="28" max="16384" width="9" style="23"/>
  </cols>
  <sheetData>
    <row r="2" spans="2:27" ht="22">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143</v>
      </c>
      <c r="S6" s="22" t="s">
        <v>142</v>
      </c>
      <c r="T6" s="22" t="s">
        <v>141</v>
      </c>
      <c r="U6" s="22" t="s">
        <v>140</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20" t="s">
        <v>7</v>
      </c>
      <c r="D10" s="120"/>
      <c r="E10" s="22" t="s">
        <v>137</v>
      </c>
      <c r="F10" s="22" t="s">
        <v>136</v>
      </c>
      <c r="R10" s="23" t="s">
        <v>295</v>
      </c>
    </row>
    <row r="11" spans="2:27" ht="15.5" thickBot="1">
      <c r="B11" s="62" t="s">
        <v>135</v>
      </c>
      <c r="C11" s="120" t="str">
        <f>_xll.RssMarket($K$16,"銘柄名称")</f>
        <v/>
      </c>
      <c r="D11" s="120"/>
      <c r="E11" s="45" t="str">
        <f>_xll.RssMarket($K$16,"市場名称")</f>
        <v/>
      </c>
      <c r="F11" s="45" t="str">
        <f>_xll.RssMarket($K$16,"信用貸借区分")</f>
        <v/>
      </c>
      <c r="S11" s="22" t="s">
        <v>134</v>
      </c>
      <c r="T11" s="22" t="s">
        <v>133</v>
      </c>
      <c r="U11" s="61" t="s">
        <v>132</v>
      </c>
      <c r="V11" s="23" t="s">
        <v>262</v>
      </c>
      <c r="W11" s="23" t="s">
        <v>263</v>
      </c>
      <c r="X11" s="23" t="s">
        <v>288</v>
      </c>
      <c r="Y11" s="23" t="s">
        <v>289</v>
      </c>
      <c r="Z11" s="23" t="s">
        <v>293</v>
      </c>
      <c r="AA11" s="23" t="s">
        <v>292</v>
      </c>
    </row>
    <row r="12" spans="2:27" ht="15.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v>15</v>
      </c>
      <c r="AA12" s="23">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5.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20" t="s">
        <v>121</v>
      </c>
      <c r="L15" s="120"/>
      <c r="R15" s="56" t="s">
        <v>120</v>
      </c>
      <c r="S15" s="55">
        <v>1</v>
      </c>
      <c r="T15" s="54" t="s">
        <v>119</v>
      </c>
      <c r="U15" s="53"/>
      <c r="V15" s="23" t="str">
        <f>IF(OR(S15=1,S15=2),"OK","入力値NG")</f>
        <v>OK</v>
      </c>
    </row>
    <row r="16" spans="2:27" ht="15.5" thickBot="1">
      <c r="B16" s="35" t="s">
        <v>118</v>
      </c>
      <c r="C16" s="46" t="str">
        <f>_xll.RssMarket($K$16,"始値")</f>
        <v/>
      </c>
      <c r="D16" s="45" t="str">
        <f>_xll.RssMarket($K$16,"始値時刻")</f>
        <v/>
      </c>
      <c r="E16" s="35" t="s">
        <v>117</v>
      </c>
      <c r="F16" s="44" t="str">
        <f>_xll.RssMarket($K$16,E16)</f>
        <v/>
      </c>
      <c r="G16" s="22" t="s">
        <v>116</v>
      </c>
      <c r="H16" s="100" t="str">
        <f>_xll.RssMarket($K$16,G16)</f>
        <v/>
      </c>
      <c r="K16" s="121"/>
      <c r="L16" s="121"/>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4" t="s">
        <v>110</v>
      </c>
      <c r="S18" s="125"/>
      <c r="T18" s="104" t="s">
        <v>38</v>
      </c>
      <c r="U18" s="104"/>
    </row>
    <row r="19" spans="2:21" ht="18.75" customHeight="1">
      <c r="H19" s="43"/>
      <c r="I19" s="120" t="s">
        <v>109</v>
      </c>
      <c r="J19" s="120"/>
      <c r="K19" s="120"/>
      <c r="L19" s="120"/>
      <c r="R19" s="42">
        <v>0</v>
      </c>
      <c r="S19" s="22" t="s">
        <v>108</v>
      </c>
      <c r="T19" s="39" t="str">
        <f>IF(
  AND(R19=1, V15="OK", V16="OK"),
  IF(
    S15=1,
      IF(AND(V12 &gt; W12, V12 &gt; S12), 1, 0),
      IF(
        S15=2,
          IF(AND(V12 &lt; W12, V12 &lt; S12), 1, 0),
          0
      )
  ),
  "-"
)</f>
        <v>-</v>
      </c>
      <c r="U19" s="97" t="str">
        <f>IF(ISBLANK(T19),"",IF(OR(T19=0,T19=FALSE),"待機中",IF(OR(T19=1,T19=TRUE),"発注",IF(T19="-","未監視"))))</f>
        <v>未監視</v>
      </c>
    </row>
    <row r="20" spans="2:21" ht="18.75" customHeight="1">
      <c r="G20" s="22" t="s">
        <v>61</v>
      </c>
      <c r="H20" s="22" t="s">
        <v>107</v>
      </c>
      <c r="I20" s="126" t="s">
        <v>106</v>
      </c>
      <c r="J20" s="126"/>
      <c r="K20" s="128" t="s">
        <v>105</v>
      </c>
      <c r="L20" s="128"/>
      <c r="N20" s="27" t="s">
        <v>104</v>
      </c>
      <c r="O20" s="41" t="e">
        <f>IF(O26="","-",IF(O26=0,_xll.RssStockOrder(O22,T19,O23,O27,O28,O29,O31,O32,O33,O34,O35,O36,O37,O38,O39,O40,O41,O43,O44,O45),IF(O26=1,_xll.RssMarginOpenOrder(O22,T19,O23,O27,O28,O29,O30,O31,O32,O33,O34,O35,O36,O37,O38,O39,O40,O41,O42,O43,O44,O45),"注文種類を選んでください")))</f>
        <v>#VALUE!</v>
      </c>
      <c r="P20" s="96" t="e">
        <f>IF(O26="","注文種類を選んでください",RIGHT(O20,LEN(O20)-253))</f>
        <v>#VALUE!</v>
      </c>
    </row>
    <row r="21" spans="2:21">
      <c r="G21" s="79" t="s">
        <v>290</v>
      </c>
      <c r="H21" s="79">
        <v>90</v>
      </c>
      <c r="I21" s="127">
        <v>5</v>
      </c>
      <c r="J21" s="127"/>
      <c r="K21" s="127">
        <v>25</v>
      </c>
      <c r="L21" s="127"/>
      <c r="N21" s="38" t="s">
        <v>98</v>
      </c>
      <c r="O21" s="40" t="s">
        <v>103</v>
      </c>
      <c r="P21" s="36" t="s">
        <v>96</v>
      </c>
      <c r="Q21" s="115" t="s">
        <v>102</v>
      </c>
      <c r="R21" s="106"/>
      <c r="S21" s="106"/>
      <c r="T21" s="106"/>
      <c r="U21" s="106"/>
    </row>
    <row r="22" spans="2:21">
      <c r="N22" s="34" t="s">
        <v>101</v>
      </c>
      <c r="O22" s="39"/>
      <c r="P22" s="20" t="s">
        <v>73</v>
      </c>
      <c r="Q22" s="114" t="s">
        <v>100</v>
      </c>
      <c r="R22" s="105"/>
      <c r="S22" s="105"/>
      <c r="T22" s="105"/>
      <c r="U22" s="105"/>
    </row>
    <row r="23" spans="2:21">
      <c r="N23" s="34" t="s">
        <v>29</v>
      </c>
      <c r="O23" s="39">
        <f>K16</f>
        <v>0</v>
      </c>
      <c r="P23" s="20" t="str">
        <f>_xll.RssMarket(O23,"銘柄名称")</f>
        <v/>
      </c>
      <c r="Q23" s="117" t="s">
        <v>99</v>
      </c>
      <c r="R23" s="118"/>
      <c r="S23" s="118"/>
      <c r="T23" s="118"/>
      <c r="U23" s="119"/>
    </row>
    <row r="25" spans="2:21">
      <c r="N25" s="38" t="s">
        <v>98</v>
      </c>
      <c r="O25" s="37" t="s">
        <v>97</v>
      </c>
      <c r="P25" s="36" t="s">
        <v>96</v>
      </c>
      <c r="Q25" s="122" t="s">
        <v>95</v>
      </c>
      <c r="R25" s="123"/>
      <c r="S25" s="123"/>
      <c r="T25" s="123"/>
      <c r="U25" s="115"/>
    </row>
    <row r="26" spans="2:21">
      <c r="N26" s="22" t="s">
        <v>94</v>
      </c>
      <c r="O26" s="88">
        <v>1</v>
      </c>
      <c r="P26" s="20" t="str">
        <f>IF(ISBLANK(O26),"",IF(O26=0,"現物",IF(O26=1,"信用","エラー")))</f>
        <v>信用</v>
      </c>
      <c r="Q26" s="116" t="s">
        <v>93</v>
      </c>
      <c r="R26" s="116"/>
      <c r="S26" s="116"/>
      <c r="T26" s="116"/>
      <c r="U26" s="116"/>
    </row>
    <row r="27" spans="2:21">
      <c r="N27" s="34" t="s">
        <v>49</v>
      </c>
      <c r="O27" s="88">
        <v>3</v>
      </c>
      <c r="P27" s="20" t="str">
        <f>IF(ISBLANK(O27),"",IF(O27=1,"売り注文",IF(O27=3,"買い注文","")))</f>
        <v>買い注文</v>
      </c>
      <c r="Q27" s="117" t="s">
        <v>92</v>
      </c>
      <c r="R27" s="118"/>
      <c r="S27" s="118"/>
      <c r="T27" s="118"/>
      <c r="U27" s="119"/>
    </row>
    <row r="28" spans="2:21">
      <c r="N28" s="34" t="s">
        <v>91</v>
      </c>
      <c r="O28" s="88">
        <v>0</v>
      </c>
      <c r="P28" s="20" t="str">
        <f>IF(ISBLANK(O28),"",IF(O28=0,"通常注文",IF(O28=1,"逆指値付通常注文",IF(O28=2,"逆指値注文"))))</f>
        <v>通常注文</v>
      </c>
      <c r="Q28" s="117" t="s">
        <v>90</v>
      </c>
      <c r="R28" s="118"/>
      <c r="S28" s="118"/>
      <c r="T28" s="118"/>
      <c r="U28" s="119"/>
    </row>
    <row r="29" spans="2:21">
      <c r="N29" s="34" t="s">
        <v>89</v>
      </c>
      <c r="O29" s="88">
        <v>1</v>
      </c>
      <c r="P29" s="20" t="str">
        <f>IF(ISBLANK(O29),"",IF(O29=0,"通常注文",IF(O29=1,"SOR注文","")))</f>
        <v>SOR注文</v>
      </c>
      <c r="Q29" s="117" t="s">
        <v>88</v>
      </c>
      <c r="R29" s="118"/>
      <c r="S29" s="118"/>
      <c r="T29" s="118"/>
      <c r="U29" s="119"/>
    </row>
    <row r="30" spans="2:21">
      <c r="N30" s="35" t="str">
        <f>IF(O26=0,"",IF(O26=1,"信用区分"))</f>
        <v>信用区分</v>
      </c>
      <c r="O30" s="88">
        <v>4</v>
      </c>
      <c r="P30" s="45" t="str">
        <f>IF(ISBLANK(O30),"",IF(O30=1,"制度（6ヶ月）",IF(O30=2,"一般（無制限）",IF(O30=3,"一般（14日）",IF(O30=4,"一般（いちにち）","")))))</f>
        <v>一般（いちにち）</v>
      </c>
      <c r="Q30" s="117" t="str">
        <f>IF(O26=0,"",IF(O26=1,"1：制度信用（6ヶ月）、2：一般信用（無制限）、3：一般信用（14日）、4：一般信用（いちにち）"))</f>
        <v>1：制度信用（6ヶ月）、2：一般信用（無制限）、3：一般信用（14日）、4：一般信用（いちにち）</v>
      </c>
      <c r="R30" s="118"/>
      <c r="S30" s="118"/>
      <c r="T30" s="118"/>
      <c r="U30" s="119"/>
    </row>
    <row r="31" spans="2:21">
      <c r="N31" s="34" t="s">
        <v>6</v>
      </c>
      <c r="O31" s="33"/>
      <c r="P31" s="20" t="s">
        <v>73</v>
      </c>
      <c r="Q31" s="117" t="s">
        <v>87</v>
      </c>
      <c r="R31" s="118"/>
      <c r="S31" s="118"/>
      <c r="T31" s="118"/>
      <c r="U31" s="119"/>
    </row>
    <row r="32" spans="2:21" ht="15.75" customHeight="1">
      <c r="N32" s="34" t="s">
        <v>86</v>
      </c>
      <c r="O32" s="88">
        <v>0</v>
      </c>
      <c r="P32" s="20" t="str">
        <f>IF(ISBLANK(O32),"",IF(O32=0,"成行",IF(O32=1,"指値","")))</f>
        <v>成行</v>
      </c>
      <c r="Q32" s="112" t="s">
        <v>217</v>
      </c>
      <c r="R32" s="113"/>
      <c r="S32" s="113"/>
      <c r="T32" s="113"/>
      <c r="U32" s="114"/>
    </row>
    <row r="33" spans="14:21">
      <c r="N33" s="34" t="s">
        <v>85</v>
      </c>
      <c r="O33" s="33"/>
      <c r="P33" s="20" t="s">
        <v>73</v>
      </c>
      <c r="Q33" s="117" t="s">
        <v>84</v>
      </c>
      <c r="R33" s="118"/>
      <c r="S33" s="118"/>
      <c r="T33" s="118"/>
      <c r="U33" s="119"/>
    </row>
    <row r="34" spans="14:21">
      <c r="N34" s="34" t="s">
        <v>83</v>
      </c>
      <c r="O34" s="88">
        <v>1</v>
      </c>
      <c r="P34" s="20" t="str">
        <f>IF(ISBLANK(O34),"",IF(O34=1,"本日中",IF(O34=3,"寄付",IF(O34=4,"引け",IF(O34=5,"期間指定",IF(O34=6,"大引け不成",IF(O34=7,"不成","")))))))</f>
        <v>本日中</v>
      </c>
      <c r="Q34" s="117" t="s">
        <v>207</v>
      </c>
      <c r="R34" s="118"/>
      <c r="S34" s="118"/>
      <c r="T34" s="118"/>
      <c r="U34" s="119"/>
    </row>
    <row r="35" spans="14:21">
      <c r="N35" s="34" t="s">
        <v>82</v>
      </c>
      <c r="O35" s="33"/>
      <c r="P35" s="20" t="s">
        <v>65</v>
      </c>
      <c r="Q35" s="117" t="s">
        <v>81</v>
      </c>
      <c r="R35" s="118"/>
      <c r="S35" s="118"/>
      <c r="T35" s="118"/>
      <c r="U35" s="119"/>
    </row>
    <row r="36" spans="14:21">
      <c r="N36" s="34" t="s">
        <v>21</v>
      </c>
      <c r="O36" s="88">
        <v>0</v>
      </c>
      <c r="P36" s="20" t="str">
        <f>IF(ISBLANK(O36),"",IF(O36=0,"特定",IF(O36=1,"一般",IF(O36=2,"NISA",""))))</f>
        <v>特定</v>
      </c>
      <c r="Q36" s="117" t="s">
        <v>218</v>
      </c>
      <c r="R36" s="118"/>
      <c r="S36" s="118"/>
      <c r="T36" s="118"/>
      <c r="U36" s="119"/>
    </row>
    <row r="37" spans="14:21">
      <c r="N37" s="34" t="s">
        <v>80</v>
      </c>
      <c r="O37" s="33"/>
      <c r="P37" s="20" t="s">
        <v>73</v>
      </c>
      <c r="Q37" s="117" t="s">
        <v>79</v>
      </c>
      <c r="R37" s="118"/>
      <c r="S37" s="118"/>
      <c r="T37" s="118"/>
      <c r="U37" s="119"/>
    </row>
    <row r="38" spans="14:21">
      <c r="N38" s="34" t="s">
        <v>78</v>
      </c>
      <c r="O38" s="33"/>
      <c r="P38" s="20" t="str">
        <f>IF(AND(O28&lt;&gt;1,O28&lt;&gt;2),"ー",IF(ISBLANK(O38),"",IF(O38=1,"以上",IF(O38=2,"以下",""))))</f>
        <v>ー</v>
      </c>
      <c r="Q38" s="117" t="s">
        <v>77</v>
      </c>
      <c r="R38" s="118"/>
      <c r="S38" s="118"/>
      <c r="T38" s="118"/>
      <c r="U38" s="119"/>
    </row>
    <row r="39" spans="14:21">
      <c r="N39" s="34" t="s">
        <v>76</v>
      </c>
      <c r="O39" s="33"/>
      <c r="P39" s="20" t="str">
        <f>IF(AND(O28&lt;&gt;1,O28&lt;&gt;2),"ー",IF(ISBLANK(O39),"",IF(O39=0,"成行",IF(O39=1,"指値",""))))</f>
        <v>ー</v>
      </c>
      <c r="Q39" s="112" t="s">
        <v>75</v>
      </c>
      <c r="R39" s="113"/>
      <c r="S39" s="113"/>
      <c r="T39" s="113"/>
      <c r="U39" s="114"/>
    </row>
    <row r="40" spans="14:21">
      <c r="N40" s="34" t="s">
        <v>74</v>
      </c>
      <c r="O40" s="33"/>
      <c r="P40" s="20" t="s">
        <v>73</v>
      </c>
      <c r="Q40" s="117" t="s">
        <v>72</v>
      </c>
      <c r="R40" s="118"/>
      <c r="S40" s="118"/>
      <c r="T40" s="118"/>
      <c r="U40" s="119"/>
    </row>
    <row r="41" spans="14:21">
      <c r="N41" s="34" t="s">
        <v>71</v>
      </c>
      <c r="O41" s="33">
        <v>0</v>
      </c>
      <c r="P41" s="20" t="str">
        <f>IF(ISBLANK(O41),"予約しない",IF(O41=0,"予約しない",IF(O41=1,"予約する")))</f>
        <v>予約しない</v>
      </c>
      <c r="Q41" s="117" t="s">
        <v>70</v>
      </c>
      <c r="R41" s="118"/>
      <c r="S41" s="118"/>
      <c r="T41" s="118"/>
      <c r="U41" s="119"/>
    </row>
    <row r="42" spans="14:21">
      <c r="N42" s="35" t="str">
        <f>IF(O26=0,"",IF(O26=1,"セット注文価格区分"))</f>
        <v>セット注文価格区分</v>
      </c>
      <c r="O42" s="88"/>
      <c r="P42" s="45" t="str">
        <f>IF(OR(ISBLANK(O42),O41&lt;&gt;1),"",IF(O42=1,"指値",IF(O42=2,"値幅指定","")))</f>
        <v/>
      </c>
      <c r="Q42" s="117" t="str">
        <f>IF(O26=0,"",IF(O26=1,"1：指値  2：値幅指定　(セット注文区分が「1：セット注文(予約する)」の場合、必須。)"))</f>
        <v>1：指値  2：値幅指定　(セット注文区分が「1：セット注文(予約する)」の場合、必須。)</v>
      </c>
      <c r="R42" s="118"/>
      <c r="S42" s="118"/>
      <c r="T42" s="118"/>
      <c r="U42" s="119"/>
    </row>
    <row r="43" spans="14:21">
      <c r="N43" s="34" t="s">
        <v>69</v>
      </c>
      <c r="O43" s="33"/>
      <c r="P43" s="20" t="s">
        <v>65</v>
      </c>
      <c r="Q43" s="117" t="s">
        <v>68</v>
      </c>
      <c r="R43" s="118"/>
      <c r="S43" s="118"/>
      <c r="T43" s="118"/>
      <c r="U43" s="119"/>
    </row>
    <row r="44" spans="14:21">
      <c r="N44" s="34" t="s">
        <v>67</v>
      </c>
      <c r="O44" s="89"/>
      <c r="P44" s="20" t="str">
        <f>IF(O41&lt;&gt;1,"ー",IF(ISBLANK(O44),"",IF(O44=1,"本日中",IF(O44=5,"期間指定",IF(O44=6,"大引け不成",IF(O44=7,"不成",""))))))</f>
        <v>ー</v>
      </c>
      <c r="Q44" s="117" t="s">
        <v>206</v>
      </c>
      <c r="R44" s="118"/>
      <c r="S44" s="118"/>
      <c r="T44" s="118"/>
      <c r="U44" s="119"/>
    </row>
    <row r="45" spans="14:21">
      <c r="N45" s="34" t="s">
        <v>66</v>
      </c>
      <c r="O45" s="33"/>
      <c r="P45" s="20" t="s">
        <v>65</v>
      </c>
      <c r="Q45" s="119" t="s">
        <v>64</v>
      </c>
      <c r="R45" s="116"/>
      <c r="S45" s="116"/>
      <c r="T45" s="116"/>
      <c r="U45" s="116"/>
    </row>
    <row r="49" spans="2:12">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2">
      <c r="B50" s="22" t="s">
        <v>63</v>
      </c>
      <c r="C50" s="22" t="s">
        <v>62</v>
      </c>
      <c r="D50" s="22" t="s">
        <v>209</v>
      </c>
      <c r="E50" s="22" t="s">
        <v>181</v>
      </c>
      <c r="F50" s="22" t="s">
        <v>60</v>
      </c>
      <c r="G50" s="22" t="s">
        <v>59</v>
      </c>
      <c r="H50" s="22" t="s">
        <v>58</v>
      </c>
      <c r="I50" s="22" t="s">
        <v>57</v>
      </c>
      <c r="J50" s="22" t="s">
        <v>56</v>
      </c>
      <c r="K50" s="22" t="s">
        <v>55</v>
      </c>
      <c r="L50" s="22" t="s">
        <v>54</v>
      </c>
    </row>
    <row r="51" spans="2:12">
      <c r="B51" s="31" t="s">
        <v>261</v>
      </c>
      <c r="C51" s="31" t="s">
        <v>227</v>
      </c>
      <c r="D51" s="31" t="s">
        <v>236</v>
      </c>
      <c r="E51" s="29" t="s">
        <v>237</v>
      </c>
      <c r="F51" s="30">
        <v>578900</v>
      </c>
      <c r="G51" s="30">
        <v>1187</v>
      </c>
      <c r="H51" s="30">
        <v>1193</v>
      </c>
      <c r="I51" s="30">
        <v>1178</v>
      </c>
      <c r="J51" s="30">
        <v>1189</v>
      </c>
      <c r="K51" s="32">
        <v>1182.8</v>
      </c>
      <c r="L51" s="32">
        <v>1190.8</v>
      </c>
    </row>
    <row r="52" spans="2:12">
      <c r="B52" s="22"/>
      <c r="C52" s="22"/>
      <c r="D52" s="22" t="s">
        <v>236</v>
      </c>
      <c r="E52" s="29" t="s">
        <v>238</v>
      </c>
      <c r="F52" s="30">
        <v>226700</v>
      </c>
      <c r="G52" s="30">
        <v>1190</v>
      </c>
      <c r="H52" s="30">
        <v>1191</v>
      </c>
      <c r="I52" s="30">
        <v>1181</v>
      </c>
      <c r="J52" s="30">
        <v>1188</v>
      </c>
      <c r="K52" s="32">
        <v>1182.9000000000001</v>
      </c>
      <c r="L52" s="32">
        <v>1190.5999999999999</v>
      </c>
    </row>
    <row r="53" spans="2:12">
      <c r="B53" s="22"/>
      <c r="C53" s="22"/>
      <c r="D53" s="22" t="s">
        <v>236</v>
      </c>
      <c r="E53" s="29" t="s">
        <v>239</v>
      </c>
      <c r="F53" s="30">
        <v>174200</v>
      </c>
      <c r="G53" s="30">
        <v>1188</v>
      </c>
      <c r="H53" s="30">
        <v>1190</v>
      </c>
      <c r="I53" s="30">
        <v>1181</v>
      </c>
      <c r="J53" s="30">
        <v>1188</v>
      </c>
      <c r="K53" s="32">
        <v>1183.2</v>
      </c>
      <c r="L53" s="32">
        <v>1190.4000000000001</v>
      </c>
    </row>
    <row r="54" spans="2:12">
      <c r="B54" s="22"/>
      <c r="C54" s="22"/>
      <c r="D54" s="22" t="s">
        <v>236</v>
      </c>
      <c r="E54" s="29" t="s">
        <v>240</v>
      </c>
      <c r="F54" s="30">
        <v>135900</v>
      </c>
      <c r="G54" s="30">
        <v>1188</v>
      </c>
      <c r="H54" s="30">
        <v>1194</v>
      </c>
      <c r="I54" s="30">
        <v>1186</v>
      </c>
      <c r="J54" s="30">
        <v>1193</v>
      </c>
      <c r="K54" s="32">
        <v>1184</v>
      </c>
      <c r="L54" s="32">
        <v>1190.4000000000001</v>
      </c>
    </row>
    <row r="55" spans="2:12">
      <c r="B55" s="22"/>
      <c r="C55" s="22"/>
      <c r="D55" s="22" t="s">
        <v>236</v>
      </c>
      <c r="E55" s="29" t="s">
        <v>241</v>
      </c>
      <c r="F55" s="30">
        <v>87600</v>
      </c>
      <c r="G55" s="30">
        <v>1193</v>
      </c>
      <c r="H55" s="30">
        <v>1194</v>
      </c>
      <c r="I55" s="30">
        <v>1189</v>
      </c>
      <c r="J55" s="30">
        <v>1191</v>
      </c>
      <c r="K55" s="32">
        <v>1185.2</v>
      </c>
      <c r="L55" s="32">
        <v>1190</v>
      </c>
    </row>
    <row r="56" spans="2:12">
      <c r="B56" s="22"/>
      <c r="C56" s="22"/>
      <c r="D56" s="22" t="s">
        <v>236</v>
      </c>
      <c r="E56" s="29" t="s">
        <v>242</v>
      </c>
      <c r="F56" s="30">
        <v>109700</v>
      </c>
      <c r="G56" s="30">
        <v>1191</v>
      </c>
      <c r="H56" s="30">
        <v>1192</v>
      </c>
      <c r="I56" s="30">
        <v>1188</v>
      </c>
      <c r="J56" s="30">
        <v>1190</v>
      </c>
      <c r="K56" s="32">
        <v>1186.3</v>
      </c>
      <c r="L56" s="32">
        <v>1189.8</v>
      </c>
    </row>
    <row r="57" spans="2:12">
      <c r="B57" s="22"/>
      <c r="C57" s="22"/>
      <c r="D57" s="22" t="s">
        <v>236</v>
      </c>
      <c r="E57" s="29" t="s">
        <v>243</v>
      </c>
      <c r="F57" s="30">
        <v>40900</v>
      </c>
      <c r="G57" s="30">
        <v>1191</v>
      </c>
      <c r="H57" s="30">
        <v>1192</v>
      </c>
      <c r="I57" s="30">
        <v>1189</v>
      </c>
      <c r="J57" s="30">
        <v>1192</v>
      </c>
      <c r="K57" s="32">
        <v>1187.5999999999999</v>
      </c>
      <c r="L57" s="32">
        <v>1189.4000000000001</v>
      </c>
    </row>
    <row r="58" spans="2:12">
      <c r="B58" s="22"/>
      <c r="C58" s="22"/>
      <c r="D58" s="22" t="s">
        <v>236</v>
      </c>
      <c r="E58" s="29" t="s">
        <v>244</v>
      </c>
      <c r="F58" s="30">
        <v>50200</v>
      </c>
      <c r="G58" s="30">
        <v>1192</v>
      </c>
      <c r="H58" s="30">
        <v>1192</v>
      </c>
      <c r="I58" s="30">
        <v>1190</v>
      </c>
      <c r="J58" s="30">
        <v>1190</v>
      </c>
      <c r="K58" s="32">
        <v>1188.3</v>
      </c>
      <c r="L58" s="32">
        <v>1189</v>
      </c>
    </row>
    <row r="59" spans="2:12">
      <c r="B59" s="22"/>
      <c r="C59" s="22"/>
      <c r="D59" s="22" t="s">
        <v>236</v>
      </c>
      <c r="E59" s="29" t="s">
        <v>245</v>
      </c>
      <c r="F59" s="30">
        <v>124800</v>
      </c>
      <c r="G59" s="30">
        <v>1190</v>
      </c>
      <c r="H59" s="30">
        <v>1191</v>
      </c>
      <c r="I59" s="30">
        <v>1186</v>
      </c>
      <c r="J59" s="30">
        <v>1191</v>
      </c>
      <c r="K59" s="32">
        <v>1189.4000000000001</v>
      </c>
      <c r="L59" s="32">
        <v>1188.5999999999999</v>
      </c>
    </row>
    <row r="60" spans="2:12">
      <c r="B60" s="22"/>
      <c r="C60" s="22"/>
      <c r="D60" s="22" t="s">
        <v>236</v>
      </c>
      <c r="E60" s="29" t="s">
        <v>246</v>
      </c>
      <c r="F60" s="30">
        <v>68500</v>
      </c>
      <c r="G60" s="30">
        <v>1191</v>
      </c>
      <c r="H60" s="30">
        <v>1192</v>
      </c>
      <c r="I60" s="30">
        <v>1190</v>
      </c>
      <c r="J60" s="30">
        <v>1191</v>
      </c>
      <c r="K60" s="32">
        <v>1190.3</v>
      </c>
      <c r="L60" s="32">
        <v>1188.5999999999999</v>
      </c>
    </row>
    <row r="61" spans="2:12">
      <c r="B61" s="22"/>
      <c r="C61" s="22"/>
      <c r="D61" s="22" t="s">
        <v>236</v>
      </c>
      <c r="E61" s="29" t="s">
        <v>247</v>
      </c>
      <c r="F61" s="30">
        <v>47800</v>
      </c>
      <c r="G61" s="30">
        <v>1191</v>
      </c>
      <c r="H61" s="30">
        <v>1191</v>
      </c>
      <c r="I61" s="30">
        <v>1188</v>
      </c>
      <c r="J61" s="30">
        <v>1189</v>
      </c>
      <c r="K61" s="32">
        <v>1190.3</v>
      </c>
      <c r="L61" s="32">
        <v>1188.3</v>
      </c>
    </row>
    <row r="62" spans="2:12">
      <c r="B62" s="22"/>
      <c r="C62" s="22"/>
      <c r="D62" s="22" t="s">
        <v>236</v>
      </c>
      <c r="E62" s="29" t="s">
        <v>248</v>
      </c>
      <c r="F62" s="30">
        <v>112300</v>
      </c>
      <c r="G62" s="30">
        <v>1188</v>
      </c>
      <c r="H62" s="30">
        <v>1188</v>
      </c>
      <c r="I62" s="30">
        <v>1183</v>
      </c>
      <c r="J62" s="30">
        <v>1183</v>
      </c>
      <c r="K62" s="32">
        <v>1189.8</v>
      </c>
      <c r="L62" s="32">
        <v>1187.8</v>
      </c>
    </row>
    <row r="63" spans="2:12">
      <c r="B63" s="22"/>
      <c r="C63" s="22"/>
      <c r="D63" s="22" t="s">
        <v>236</v>
      </c>
      <c r="E63" s="29" t="s">
        <v>249</v>
      </c>
      <c r="F63" s="30">
        <v>94900</v>
      </c>
      <c r="G63" s="30">
        <v>1184</v>
      </c>
      <c r="H63" s="30">
        <v>1186</v>
      </c>
      <c r="I63" s="30">
        <v>1183</v>
      </c>
      <c r="J63" s="30">
        <v>1184</v>
      </c>
      <c r="K63" s="32">
        <v>1189.4000000000001</v>
      </c>
      <c r="L63" s="32">
        <v>1187.2</v>
      </c>
    </row>
    <row r="64" spans="2:12">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K15:L15"/>
    <mergeCell ref="K16:L16"/>
    <mergeCell ref="C10:D10"/>
    <mergeCell ref="C11:D11"/>
    <mergeCell ref="Q42:U42"/>
    <mergeCell ref="Q27:U27"/>
    <mergeCell ref="Q23:U23"/>
    <mergeCell ref="T18:U18"/>
    <mergeCell ref="Q33:U33"/>
    <mergeCell ref="Q25:U25"/>
    <mergeCell ref="R18:S18"/>
    <mergeCell ref="I20:J20"/>
    <mergeCell ref="I21:J21"/>
    <mergeCell ref="K20:L20"/>
    <mergeCell ref="K21:L21"/>
    <mergeCell ref="I19:L19"/>
    <mergeCell ref="Q43:U43"/>
    <mergeCell ref="Q44:U44"/>
    <mergeCell ref="Q45:U45"/>
    <mergeCell ref="Q34:U34"/>
    <mergeCell ref="Q35:U35"/>
    <mergeCell ref="Q36:U36"/>
    <mergeCell ref="Q37:U37"/>
    <mergeCell ref="Q38:U38"/>
    <mergeCell ref="Q39:U39"/>
    <mergeCell ref="Q40:U40"/>
    <mergeCell ref="Q41:U41"/>
    <mergeCell ref="Q32:U32"/>
    <mergeCell ref="Q21:U21"/>
    <mergeCell ref="Q26:U26"/>
    <mergeCell ref="Q22:U22"/>
    <mergeCell ref="Q28:U28"/>
    <mergeCell ref="Q29:U29"/>
    <mergeCell ref="Q30:U30"/>
    <mergeCell ref="Q31:U31"/>
  </mergeCells>
  <phoneticPr fontId="4"/>
  <conditionalFormatting sqref="O33">
    <cfRule type="expression" dxfId="17" priority="12">
      <formula>$O$32=0</formula>
    </cfRule>
  </conditionalFormatting>
  <conditionalFormatting sqref="O35">
    <cfRule type="expression" dxfId="16" priority="11">
      <formula>$O$34&lt;&gt;5</formula>
    </cfRule>
  </conditionalFormatting>
  <conditionalFormatting sqref="O45">
    <cfRule type="expression" dxfId="15" priority="3">
      <formula>$O$41=0</formula>
    </cfRule>
    <cfRule type="expression" dxfId="14" priority="10">
      <formula>$O$44&lt;&gt;5</formula>
    </cfRule>
  </conditionalFormatting>
  <conditionalFormatting sqref="N30:U30 N42:U42">
    <cfRule type="expression" dxfId="13" priority="13">
      <formula>$O$26&lt;&gt;1</formula>
    </cfRule>
  </conditionalFormatting>
  <conditionalFormatting sqref="O42">
    <cfRule type="expression" dxfId="12" priority="5">
      <formula>$O$26=0</formula>
    </cfRule>
  </conditionalFormatting>
  <conditionalFormatting sqref="O42:O44">
    <cfRule type="expression" dxfId="11" priority="4">
      <formula>$O$41=0</formula>
    </cfRule>
  </conditionalFormatting>
  <conditionalFormatting sqref="O40">
    <cfRule type="expression" dxfId="10" priority="2">
      <formula>OR(AND($O$28&lt;&gt;1,$O$28&lt;&gt;2),$O$39&lt;&gt;1)</formula>
    </cfRule>
  </conditionalFormatting>
  <conditionalFormatting sqref="O37:O39">
    <cfRule type="expression" dxfId="9" priority="1">
      <formula>AND($O$28&lt;&gt;1,$O$28&lt;&gt;2)</formula>
    </cfRule>
  </conditionalFormatting>
  <dataValidations count="13">
    <dataValidation type="list" allowBlank="1" showErrorMessage="1" errorTitle="注文区分　入力値エラー" error="0,1,2以外の数値は入力できません" promptTitle="注文区分" prompt="0:通常注文_x000a_1:指値付通常注文_x000a_2:逆指値注文" sqref="O28" xr:uid="{00000000-0002-0000-0300-000000000000}">
      <formula1>"0,1,2"</formula1>
    </dataValidation>
    <dataValidation type="list" allowBlank="1" showErrorMessage="1" errorTitle="入力値エラー" error="0，1以外の数値は入力できません" promptTitle="注文種類" prompt="0：現物_x000a_1：信用" sqref="O26" xr:uid="{00000000-0002-0000-0300-000001000000}">
      <formula1>"0,1"</formula1>
    </dataValidation>
    <dataValidation type="list" allowBlank="1" showErrorMessage="1" errorTitle="SOR区分" error="0，1以外の数値は入力できません" promptTitle="SOR区分" prompt="0:通常注文_x000a_1:SOR注文" sqref="O29" xr:uid="{00000000-0002-0000-0300-000002000000}">
      <formula1>"0,1"</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00000000-0002-0000-0300-000003000000}">
      <formula1>"1,2,3,4"</formula1>
    </dataValidation>
    <dataValidation type="list" allowBlank="1" showErrorMessage="1" errorTitle="口座区分　入力値エラー" error="0,1,2以外の数値は入力できません" promptTitle="口座区分" prompt="0:特定_x000a_1:一般_x000a_2:NISA" sqref="O36" xr:uid="{00000000-0002-0000-0300-000004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0000000-0002-0000-0300-000005000000}">
      <formula1>"1,2,3,4,5,6,7"</formula1>
    </dataValidation>
    <dataValidation type="list" allowBlank="1" showErrorMessage="1" errorTitle="価格区分　入力値エラー" error="0，1以外の数値は入力できません" promptTitle="価格区分" prompt="0：成行_x000a_1：指値" sqref="O32" xr:uid="{00000000-0002-0000-0300-000006000000}">
      <formula1>"0,1"</formula1>
    </dataValidation>
    <dataValidation type="list" allowBlank="1" showErrorMessage="1" errorTitle="逆指値条件区分　入力値エラー" error="1,2以外の数値は入力できません" promptTitle="逆指値条件区分" prompt="1:以上_x000a_2:以下" sqref="O38" xr:uid="{00000000-0002-0000-0300-000007000000}">
      <formula1>"1,2"</formula1>
    </dataValidation>
    <dataValidation type="list" allowBlank="1" showErrorMessage="1" errorTitle="逆指値価格区分　入力値エラー" error="0,1以外の数値は入力できません" promptTitle="逆指値価格区分" prompt="0:成行_x000a_1:指値" sqref="O39" xr:uid="{00000000-0002-0000-0300-000008000000}">
      <formula1>"0,1"</formula1>
    </dataValidation>
    <dataValidation type="list" allowBlank="1" showErrorMessage="1" errorTitle="セット注文区分　入力値エラー" error="0,1以外の数値は入力できません" promptTitle="セット注文区分" prompt="0:予約しない_x000a_1:予約する" sqref="O41" xr:uid="{00000000-0002-0000-0300-000009000000}">
      <formula1>"0,1"</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00000000-0002-0000-0300-00000A000000}">
      <formula1>"1,2,3,4,5,6,7"</formula1>
    </dataValidation>
    <dataValidation type="list" allowBlank="1" showErrorMessage="1" errorTitle="セット注文価格区分 入力値エラー" error="1,2以外の数値は入力できません" promptTitle="セット注文価格区分" prompt="1:指値_x000a_2:値幅指定_x000a_" sqref="O42" xr:uid="{00000000-0002-0000-0300-00000B000000}">
      <formula1>"1,2"</formula1>
    </dataValidation>
    <dataValidation type="list" allowBlank="1" showErrorMessage="1" errorTitle="売買区分　入力値エラー" error="1，3以外の数値は入力できません" promptTitle="売買区分" prompt="1:売（売建）_x000a_3:買（買建)" sqref="O27" xr:uid="{00000000-0002-0000-0300-00000C000000}">
      <formula1>"1,3"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F7"/>
  <sheetViews>
    <sheetView workbookViewId="0">
      <selection activeCell="E7" sqref="E7"/>
    </sheetView>
  </sheetViews>
  <sheetFormatPr defaultRowHeight="18"/>
  <cols>
    <col min="9" max="9" width="19.75" bestFit="1" customWidth="1"/>
  </cols>
  <sheetData>
    <row r="1" spans="1:6">
      <c r="A1" s="85" t="s">
        <v>197</v>
      </c>
    </row>
    <row r="2" spans="1:6">
      <c r="A2" s="86" t="s">
        <v>198</v>
      </c>
    </row>
    <row r="3" spans="1:6">
      <c r="A3" s="86" t="s">
        <v>199</v>
      </c>
    </row>
    <row r="4" spans="1:6">
      <c r="A4" s="95">
        <f>MAX(A7:A1048576)</f>
        <v>0</v>
      </c>
      <c r="B4" t="s">
        <v>219</v>
      </c>
    </row>
    <row r="5" spans="1:6">
      <c r="A5" t="str">
        <f>_xll.RssOrderIDList($A$6:$F$6)</f>
        <v>=@RssOrderIDList($A$6:$F$6) =&gt; 配信中</v>
      </c>
    </row>
    <row r="6" spans="1:6">
      <c r="A6" t="s">
        <v>200</v>
      </c>
      <c r="B6" t="s">
        <v>201</v>
      </c>
      <c r="C6" t="s">
        <v>202</v>
      </c>
      <c r="D6" t="s">
        <v>203</v>
      </c>
      <c r="E6" t="s">
        <v>204</v>
      </c>
      <c r="F6" t="s">
        <v>205</v>
      </c>
    </row>
    <row r="7" spans="1:6">
      <c r="A7" s="87" t="s">
        <v>52</v>
      </c>
      <c r="B7" s="87" t="s">
        <v>52</v>
      </c>
      <c r="C7" s="87" t="s">
        <v>52</v>
      </c>
      <c r="D7" s="87" t="s">
        <v>52</v>
      </c>
      <c r="E7" s="87" t="s">
        <v>52</v>
      </c>
      <c r="F7" s="87" t="s">
        <v>52</v>
      </c>
    </row>
  </sheetData>
  <phoneticPr fontId="4"/>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6EDA3-8A5D-4CBC-AB8C-4DA06B3C019A}">
  <sheetPr codeName="Sheet7"/>
  <dimension ref="A1:T2"/>
  <sheetViews>
    <sheetView workbookViewId="0">
      <selection activeCell="H3" sqref="H3"/>
    </sheetView>
  </sheetViews>
  <sheetFormatPr defaultRowHeight="18"/>
  <sheetData>
    <row r="1" spans="1:20">
      <c r="A1" t="str" cm="1">
        <f t="array" ref="A1">_xll.RssMarginPositionList($A$2:$T$2)</f>
        <v>=RssMarginPositionList($A$2:$T$2) =&gt; 接続待ち</v>
      </c>
    </row>
    <row r="2" spans="1:20">
      <c r="A2" t="s">
        <v>265</v>
      </c>
      <c r="B2" t="s">
        <v>266</v>
      </c>
      <c r="C2" t="s">
        <v>267</v>
      </c>
      <c r="D2" t="s">
        <v>268</v>
      </c>
      <c r="E2" t="s">
        <v>269</v>
      </c>
      <c r="F2" t="s">
        <v>270</v>
      </c>
      <c r="G2" t="s">
        <v>271</v>
      </c>
      <c r="H2" t="s">
        <v>272</v>
      </c>
      <c r="I2" t="s">
        <v>273</v>
      </c>
      <c r="J2" t="s">
        <v>274</v>
      </c>
      <c r="K2" t="s">
        <v>275</v>
      </c>
      <c r="L2" t="s">
        <v>276</v>
      </c>
      <c r="M2" t="s">
        <v>277</v>
      </c>
      <c r="N2" t="s">
        <v>278</v>
      </c>
      <c r="O2" t="s">
        <v>279</v>
      </c>
      <c r="P2" t="s">
        <v>280</v>
      </c>
      <c r="Q2" t="s">
        <v>281</v>
      </c>
      <c r="R2" t="s">
        <v>282</v>
      </c>
      <c r="S2" t="s">
        <v>283</v>
      </c>
      <c r="T2" t="s">
        <v>284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53D6F-0F48-41D3-9486-CD93F78B44C2}">
  <sheetPr codeName="Sheet6"/>
  <dimension ref="B2:AA152"/>
  <sheetViews>
    <sheetView showGridLines="0" topLeftCell="J15" zoomScaleNormal="100" workbookViewId="0">
      <selection activeCell="O32" sqref="O32"/>
    </sheetView>
  </sheetViews>
  <sheetFormatPr defaultColWidth="9" defaultRowHeight="15"/>
  <cols>
    <col min="1" max="1" width="3.83203125" style="23" customWidth="1"/>
    <col min="2" max="2" width="16.08203125" style="23" customWidth="1"/>
    <col min="3" max="3" width="11.5" style="23" bestFit="1" customWidth="1"/>
    <col min="4" max="4" width="9.5" style="23" bestFit="1" customWidth="1"/>
    <col min="5" max="5" width="12.08203125" style="23" customWidth="1"/>
    <col min="6" max="6" width="13.5" style="23" bestFit="1" customWidth="1"/>
    <col min="7" max="7" width="11.25" style="23" customWidth="1"/>
    <col min="8" max="8" width="12.08203125" style="23" bestFit="1" customWidth="1"/>
    <col min="9" max="10" width="9.83203125" style="23" bestFit="1" customWidth="1"/>
    <col min="11" max="12" width="10.5" style="23" bestFit="1" customWidth="1"/>
    <col min="13" max="13" width="5" style="23" customWidth="1"/>
    <col min="14" max="14" width="15.75" style="23" customWidth="1"/>
    <col min="15" max="15" width="12.25" style="23" customWidth="1"/>
    <col min="16" max="16" width="10" style="23" bestFit="1" customWidth="1"/>
    <col min="17" max="17" width="9" style="23" customWidth="1"/>
    <col min="18" max="18" width="15.3320312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3203125" style="23" bestFit="1" customWidth="1"/>
    <col min="28" max="16384" width="9" style="23"/>
  </cols>
  <sheetData>
    <row r="2" spans="2:27" ht="22">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37</v>
      </c>
      <c r="S6" s="22" t="s">
        <v>36</v>
      </c>
      <c r="T6" s="22" t="s">
        <v>35</v>
      </c>
      <c r="U6" s="22" t="s">
        <v>34</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20" t="s">
        <v>7</v>
      </c>
      <c r="D10" s="120"/>
      <c r="E10" s="22" t="s">
        <v>137</v>
      </c>
      <c r="F10" s="22" t="s">
        <v>136</v>
      </c>
    </row>
    <row r="11" spans="2:27" ht="15.5" thickBot="1">
      <c r="B11" s="62" t="s">
        <v>135</v>
      </c>
      <c r="C11" s="120" t="str">
        <f>_xll.RssMarket($K$16,"銘柄名称")</f>
        <v/>
      </c>
      <c r="D11" s="120"/>
      <c r="E11" s="45" t="str">
        <f>_xll.RssMarket($K$16,"市場名称")</f>
        <v/>
      </c>
      <c r="F11" s="45" t="str">
        <f>_xll.RssMarket($K$16,"信用貸借区分")</f>
        <v/>
      </c>
      <c r="S11" s="22" t="s">
        <v>134</v>
      </c>
      <c r="T11" s="22" t="s">
        <v>133</v>
      </c>
      <c r="U11" s="61" t="s">
        <v>132</v>
      </c>
      <c r="V11" s="23" t="s">
        <v>262</v>
      </c>
      <c r="W11" s="23" t="s">
        <v>263</v>
      </c>
      <c r="X11" s="23" t="s">
        <v>288</v>
      </c>
      <c r="Y11" s="23" t="s">
        <v>289</v>
      </c>
      <c r="Z11" s="23" t="s">
        <v>293</v>
      </c>
      <c r="AA11" s="23" t="s">
        <v>292</v>
      </c>
    </row>
    <row r="12" spans="2:27" ht="15.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f>トリガー発注!Z12</f>
        <v>15</v>
      </c>
      <c r="AA12" s="23">
        <f>トリガー発注!AA12</f>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5.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20" t="s">
        <v>121</v>
      </c>
      <c r="L15" s="120"/>
      <c r="R15" s="56" t="s">
        <v>120</v>
      </c>
      <c r="S15" s="55">
        <v>1</v>
      </c>
      <c r="T15" s="54" t="s">
        <v>119</v>
      </c>
      <c r="U15" s="53"/>
      <c r="V15" s="23" t="str">
        <f>IF(OR(S15=1,S15=2),"OK","入力値NG")</f>
        <v>OK</v>
      </c>
    </row>
    <row r="16" spans="2:27" ht="15.5" thickBot="1">
      <c r="B16" s="35" t="s">
        <v>118</v>
      </c>
      <c r="C16" s="46" t="str">
        <f>_xll.RssMarket($K$16,"始値")</f>
        <v/>
      </c>
      <c r="D16" s="45" t="str">
        <f>_xll.RssMarket($K$16,"始値時刻")</f>
        <v/>
      </c>
      <c r="E16" s="35" t="s">
        <v>117</v>
      </c>
      <c r="F16" s="44" t="str">
        <f>_xll.RssMarket($K$16,E16)</f>
        <v/>
      </c>
      <c r="G16" s="22" t="s">
        <v>116</v>
      </c>
      <c r="H16" s="100" t="str">
        <f>_xll.RssMarket($K$16,G16)</f>
        <v/>
      </c>
      <c r="K16" s="121">
        <f>トリガー発注!K16</f>
        <v>0</v>
      </c>
      <c r="L16" s="121"/>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4" t="s">
        <v>110</v>
      </c>
      <c r="S18" s="125"/>
      <c r="T18" s="104" t="s">
        <v>38</v>
      </c>
      <c r="U18" s="104"/>
    </row>
    <row r="19" spans="2:21" ht="18.75" customHeight="1">
      <c r="H19" s="43"/>
      <c r="I19" s="120" t="s">
        <v>109</v>
      </c>
      <c r="J19" s="120"/>
      <c r="K19" s="120"/>
      <c r="L19" s="120"/>
      <c r="R19" s="42">
        <v>0</v>
      </c>
      <c r="S19" s="22" t="s">
        <v>108</v>
      </c>
      <c r="T19" s="39" t="str">
        <f>IF(
  AND(R20=1, AND(V15="OK", V16="OK")),
  IF(
    S15=1,
      IF(
        OR(
          V12 &lt; S12,
          X12 - V12 &gt;= Z12,
          O47 - V12 &gt;= AA12
        ),
        1,
        0
      ),
      IF(
        S15=2,
        IF(
          OR(
            V12 &gt; S12,
            V12 - Y12 &gt;= Z12,
            V12 - O47 &gt;= AA12
          ),
          1,
          0
        ),
        0
      )
  ),
  "-"
)</f>
        <v>-</v>
      </c>
      <c r="U19" s="97" t="str">
        <f>IF(ISBLANK(T19),"",IF(OR(T19=0,T19=FALSE),"待機中",IF(OR(T19=1,T19=TRUE),"発注",IF(T19="-","未監視"))))</f>
        <v>未監視</v>
      </c>
    </row>
    <row r="20" spans="2:21" ht="18.75" customHeight="1">
      <c r="G20" s="22" t="s">
        <v>61</v>
      </c>
      <c r="H20" s="22" t="s">
        <v>107</v>
      </c>
      <c r="I20" s="126" t="s">
        <v>106</v>
      </c>
      <c r="J20" s="126"/>
      <c r="K20" s="128" t="s">
        <v>105</v>
      </c>
      <c r="L20" s="128"/>
      <c r="N20" s="27" t="s">
        <v>104</v>
      </c>
      <c r="O20" s="41" t="e">
        <f ca="1">IF(O26="","-",IF(O26=0,_xll.RssStockOrder(O22,T19,O23,O27,O28,O29,O31,O32,O33,O34,O35,O36,O37,O38,O39,O40,O41,O43,O44,O45),IF(O26=1,_xll.RssMarginCloseOrder(O50,T19,O23,O27,O28,O29,O30,O31,O32,O33,O34,O35,O36,O46,O47,O48,O37,O38,O39,O40),"注文種類を選んでください")))</f>
        <v>#VALUE!</v>
      </c>
      <c r="P20" s="96" t="e">
        <f ca="1">IF(O26="","注文種類を選んでください",RIGHT(O20,LEN(O20)-253))</f>
        <v>#VALUE!</v>
      </c>
      <c r="Q20" s="23" t="e" cm="1">
        <f t="array" ref="Q20">_xll.RssModifyOrder(O22,U19,O50,O28,O31,O32,O33,O34,O35,O37,O38,O39,O40,O42,O43,O44,O45)</f>
        <v>#VALUE!</v>
      </c>
      <c r="R20" s="23">
        <f>IF(N(建玉一覧!H3)&gt;0, 1, 0)</f>
        <v>0</v>
      </c>
      <c r="S20" s="23" t="s">
        <v>291</v>
      </c>
    </row>
    <row r="21" spans="2:21">
      <c r="G21" s="79" t="s">
        <v>290</v>
      </c>
      <c r="H21" s="79">
        <v>90</v>
      </c>
      <c r="I21" s="127">
        <v>5</v>
      </c>
      <c r="J21" s="127"/>
      <c r="K21" s="127">
        <v>25</v>
      </c>
      <c r="L21" s="127"/>
      <c r="N21" s="38" t="s">
        <v>98</v>
      </c>
      <c r="O21" s="40" t="s">
        <v>103</v>
      </c>
      <c r="P21" s="36" t="s">
        <v>96</v>
      </c>
      <c r="Q21" s="115" t="s">
        <v>102</v>
      </c>
      <c r="R21" s="106"/>
      <c r="S21" s="106"/>
      <c r="T21" s="106"/>
      <c r="U21" s="106"/>
    </row>
    <row r="22" spans="2:21">
      <c r="N22" s="34" t="s">
        <v>101</v>
      </c>
      <c r="O22" s="39">
        <f>トリガー発注!O22</f>
        <v>0</v>
      </c>
      <c r="P22" s="20" t="s">
        <v>65</v>
      </c>
      <c r="Q22" s="114" t="s">
        <v>100</v>
      </c>
      <c r="R22" s="105"/>
      <c r="S22" s="105"/>
      <c r="T22" s="105"/>
      <c r="U22" s="105"/>
    </row>
    <row r="23" spans="2:21">
      <c r="N23" s="34" t="s">
        <v>29</v>
      </c>
      <c r="O23" s="39">
        <f>K16</f>
        <v>0</v>
      </c>
      <c r="P23" s="20" t="str">
        <f>_xll.RssMarket(O23,"銘柄名称")</f>
        <v/>
      </c>
      <c r="Q23" s="117" t="s">
        <v>99</v>
      </c>
      <c r="R23" s="118"/>
      <c r="S23" s="118"/>
      <c r="T23" s="118"/>
      <c r="U23" s="119"/>
    </row>
    <row r="25" spans="2:21">
      <c r="N25" s="38" t="s">
        <v>98</v>
      </c>
      <c r="O25" s="37" t="s">
        <v>97</v>
      </c>
      <c r="P25" s="36" t="s">
        <v>96</v>
      </c>
      <c r="Q25" s="122" t="s">
        <v>95</v>
      </c>
      <c r="R25" s="123"/>
      <c r="S25" s="123"/>
      <c r="T25" s="123"/>
      <c r="U25" s="115"/>
    </row>
    <row r="26" spans="2:21">
      <c r="N26" s="22" t="s">
        <v>94</v>
      </c>
      <c r="O26" s="88">
        <v>1</v>
      </c>
      <c r="P26" s="20" t="str">
        <f>IF(ISBLANK(O26),"",IF(O26=0,"現物",IF(O26=1,"信用","エラー")))</f>
        <v>信用</v>
      </c>
      <c r="Q26" s="116" t="s">
        <v>93</v>
      </c>
      <c r="R26" s="116"/>
      <c r="S26" s="116"/>
      <c r="T26" s="116"/>
      <c r="U26" s="116"/>
    </row>
    <row r="27" spans="2:21">
      <c r="N27" s="34" t="s">
        <v>49</v>
      </c>
      <c r="O27" s="88">
        <f>IF(トリガー発注!O27=3,1,3)</f>
        <v>1</v>
      </c>
      <c r="P27" s="20" t="str">
        <f>IF(ISBLANK(O27),"",IF(O27=1,"売り注文",IF(O27=3,"買い注文","")))</f>
        <v>売り注文</v>
      </c>
      <c r="Q27" s="117" t="s">
        <v>92</v>
      </c>
      <c r="R27" s="118"/>
      <c r="S27" s="118"/>
      <c r="T27" s="118"/>
      <c r="U27" s="119"/>
    </row>
    <row r="28" spans="2:21">
      <c r="N28" s="34" t="s">
        <v>91</v>
      </c>
      <c r="O28" s="88">
        <v>0</v>
      </c>
      <c r="P28" s="20" t="str">
        <f>IF(ISBLANK(O28),"",IF(O28=0,"通常注文",IF(O28=1,"逆指値付通常注文",IF(O28=2,"逆指値注文"))))</f>
        <v>通常注文</v>
      </c>
      <c r="Q28" s="117" t="s">
        <v>90</v>
      </c>
      <c r="R28" s="118"/>
      <c r="S28" s="118"/>
      <c r="T28" s="118"/>
      <c r="U28" s="119"/>
    </row>
    <row r="29" spans="2:21">
      <c r="N29" s="34" t="s">
        <v>89</v>
      </c>
      <c r="O29" s="88">
        <v>1</v>
      </c>
      <c r="P29" s="20" t="str">
        <f>IF(ISBLANK(O29),"",IF(O29=0,"通常注文",IF(O29=1,"SOR注文","")))</f>
        <v>SOR注文</v>
      </c>
      <c r="Q29" s="117" t="s">
        <v>88</v>
      </c>
      <c r="R29" s="118"/>
      <c r="S29" s="118"/>
      <c r="T29" s="118"/>
      <c r="U29" s="119"/>
    </row>
    <row r="30" spans="2:21">
      <c r="N30" s="35" t="str">
        <f>IF(O26=0,"",IF(O26=1,"信用区分"))</f>
        <v>信用区分</v>
      </c>
      <c r="O30" s="88">
        <v>4</v>
      </c>
      <c r="P30" s="45" t="str">
        <f>IF(ISBLANK(O30),"",IF(O30=1,"制度（6ヶ月）",IF(O30=2,"一般（無制限）",IF(O30=3,"一般（14日）",IF(O30=4,"一般（いちにち）","")))))</f>
        <v>一般（いちにち）</v>
      </c>
      <c r="Q30" s="117" t="str">
        <f>IF(O26=0,"",IF(O26=1,"1：制度信用（6ヶ月）、2：一般信用（無制限）、3：一般信用（14日）、4：一般信用（いちにち）"))</f>
        <v>1：制度信用（6ヶ月）、2：一般信用（無制限）、3：一般信用（14日）、4：一般信用（いちにち）</v>
      </c>
      <c r="R30" s="118"/>
      <c r="S30" s="118"/>
      <c r="T30" s="118"/>
      <c r="U30" s="119"/>
    </row>
    <row r="31" spans="2:21">
      <c r="N31" s="34" t="s">
        <v>6</v>
      </c>
      <c r="O31" s="33" t="str" cm="1">
        <f t="array" ref="O31">_xlfn.LET(
  _xlpm.r, 建玉一覧!H3:H1006,
  _xlpm.p, IFERROR(LOOKUP(2, 1/(ISNUMBER(_xlpm.r)), ROW(_xlpm.r)), 0),
  IF(_xlpm.p=0, "", INDEX(建玉一覧!H:H, _xlpm.p))
)</f>
        <v/>
      </c>
      <c r="P31" s="20" t="s">
        <v>65</v>
      </c>
      <c r="Q31" s="117" t="s">
        <v>87</v>
      </c>
      <c r="R31" s="118"/>
      <c r="S31" s="118"/>
      <c r="T31" s="118"/>
      <c r="U31" s="119"/>
    </row>
    <row r="32" spans="2:21" ht="15.75" customHeight="1">
      <c r="N32" s="34" t="s">
        <v>86</v>
      </c>
      <c r="O32" s="88">
        <v>1</v>
      </c>
      <c r="P32" s="20" t="str">
        <f>IF(ISBLANK(O32),"",IF(O32=0,"成行",IF(O32=1,"指値","")))</f>
        <v>指値</v>
      </c>
      <c r="Q32" s="112" t="s">
        <v>217</v>
      </c>
      <c r="R32" s="113"/>
      <c r="S32" s="113"/>
      <c r="T32" s="113"/>
      <c r="U32" s="114"/>
    </row>
    <row r="33" spans="14:21">
      <c r="N33" s="34" t="s">
        <v>85</v>
      </c>
      <c r="O33" s="33">
        <f>IF(S15=1,V12-20,IF(
       S15=2,V12+20,"-"))</f>
        <v>1132</v>
      </c>
      <c r="P33" s="20" t="s">
        <v>65</v>
      </c>
      <c r="Q33" s="117" t="s">
        <v>84</v>
      </c>
      <c r="R33" s="118"/>
      <c r="S33" s="118"/>
      <c r="T33" s="118"/>
      <c r="U33" s="119"/>
    </row>
    <row r="34" spans="14:21">
      <c r="N34" s="34" t="s">
        <v>83</v>
      </c>
      <c r="O34" s="88">
        <v>1</v>
      </c>
      <c r="P34" s="20" t="str">
        <f>IF(ISBLANK(O34),"",IF(O34=1,"本日中",IF(O34=3,"寄付",IF(O34=4,"引け",IF(O34=5,"期間指定",IF(O34=6,"大引け不成",IF(O34=7,"不成","")))))))</f>
        <v>本日中</v>
      </c>
      <c r="Q34" s="117" t="s">
        <v>207</v>
      </c>
      <c r="R34" s="118"/>
      <c r="S34" s="118"/>
      <c r="T34" s="118"/>
      <c r="U34" s="119"/>
    </row>
    <row r="35" spans="14:21">
      <c r="N35" s="34" t="s">
        <v>82</v>
      </c>
      <c r="O35" s="33"/>
      <c r="P35" s="20" t="s">
        <v>65</v>
      </c>
      <c r="Q35" s="117" t="s">
        <v>81</v>
      </c>
      <c r="R35" s="118"/>
      <c r="S35" s="118"/>
      <c r="T35" s="118"/>
      <c r="U35" s="119"/>
    </row>
    <row r="36" spans="14:21">
      <c r="N36" s="34" t="s">
        <v>21</v>
      </c>
      <c r="O36" s="88">
        <v>0</v>
      </c>
      <c r="P36" s="20" t="str">
        <f>IF(ISBLANK(O36),"",IF(O36=0,"特定",IF(O36=1,"一般",IF(O36=2,"NISA",""))))</f>
        <v>特定</v>
      </c>
      <c r="Q36" s="117" t="s">
        <v>218</v>
      </c>
      <c r="R36" s="118"/>
      <c r="S36" s="118"/>
      <c r="T36" s="118"/>
      <c r="U36" s="119"/>
    </row>
    <row r="37" spans="14:21">
      <c r="N37" s="34" t="s">
        <v>80</v>
      </c>
      <c r="O37" s="33"/>
      <c r="P37" s="20" t="s">
        <v>65</v>
      </c>
      <c r="Q37" s="117" t="s">
        <v>79</v>
      </c>
      <c r="R37" s="118"/>
      <c r="S37" s="118"/>
      <c r="T37" s="118"/>
      <c r="U37" s="119"/>
    </row>
    <row r="38" spans="14:21">
      <c r="N38" s="34" t="s">
        <v>78</v>
      </c>
      <c r="O38" s="33"/>
      <c r="P38" s="20" t="str">
        <f>IF(AND(O28&lt;&gt;1,O28&lt;&gt;2),"ー",IF(ISBLANK(O38),"",IF(O38=1,"以上",IF(O38=2,"以下",""))))</f>
        <v>ー</v>
      </c>
      <c r="Q38" s="117" t="s">
        <v>77</v>
      </c>
      <c r="R38" s="118"/>
      <c r="S38" s="118"/>
      <c r="T38" s="118"/>
      <c r="U38" s="119"/>
    </row>
    <row r="39" spans="14:21">
      <c r="N39" s="34" t="s">
        <v>76</v>
      </c>
      <c r="O39" s="33"/>
      <c r="P39" s="20" t="str">
        <f>IF(AND(O28&lt;&gt;1,O28&lt;&gt;2),"ー",IF(ISBLANK(O39),"",IF(O39=0,"成行",IF(O39=1,"指値",""))))</f>
        <v>ー</v>
      </c>
      <c r="Q39" s="112" t="s">
        <v>75</v>
      </c>
      <c r="R39" s="113"/>
      <c r="S39" s="113"/>
      <c r="T39" s="113"/>
      <c r="U39" s="114"/>
    </row>
    <row r="40" spans="14:21">
      <c r="N40" s="34" t="s">
        <v>74</v>
      </c>
      <c r="O40" s="33"/>
      <c r="P40" s="20" t="s">
        <v>65</v>
      </c>
      <c r="Q40" s="117" t="s">
        <v>72</v>
      </c>
      <c r="R40" s="118"/>
      <c r="S40" s="118"/>
      <c r="T40" s="118"/>
      <c r="U40" s="119"/>
    </row>
    <row r="41" spans="14:21">
      <c r="N41" s="34" t="s">
        <v>71</v>
      </c>
      <c r="O41" s="33">
        <v>0</v>
      </c>
      <c r="P41" s="20" t="str">
        <f>IF(ISBLANK(O41),"予約しない",IF(O41=0,"予約しない",IF(O41=1,"予約する")))</f>
        <v>予約しない</v>
      </c>
      <c r="Q41" s="117" t="s">
        <v>70</v>
      </c>
      <c r="R41" s="118"/>
      <c r="S41" s="118"/>
      <c r="T41" s="118"/>
      <c r="U41" s="119"/>
    </row>
    <row r="42" spans="14:21">
      <c r="N42" s="35" t="str">
        <f>IF(O26=0,"",IF(O26=1,"セット注文価格区分"))</f>
        <v>セット注文価格区分</v>
      </c>
      <c r="O42" s="88"/>
      <c r="P42" s="45" t="str">
        <f>IF(OR(ISBLANK(O42),O41&lt;&gt;1),"",IF(O42=1,"指値",IF(O42=2,"値幅指定","")))</f>
        <v/>
      </c>
      <c r="Q42" s="117" t="str">
        <f>IF(O26=0,"",IF(O26=1,"1：指値  2：値幅指定　(セット注文区分が「1：セット注文(予約する)」の場合、必須。)"))</f>
        <v>1：指値  2：値幅指定　(セット注文区分が「1：セット注文(予約する)」の場合、必須。)</v>
      </c>
      <c r="R42" s="118"/>
      <c r="S42" s="118"/>
      <c r="T42" s="118"/>
      <c r="U42" s="119"/>
    </row>
    <row r="43" spans="14:21">
      <c r="N43" s="34" t="s">
        <v>69</v>
      </c>
      <c r="O43" s="33"/>
      <c r="P43" s="20" t="s">
        <v>65</v>
      </c>
      <c r="Q43" s="117" t="s">
        <v>68</v>
      </c>
      <c r="R43" s="118"/>
      <c r="S43" s="118"/>
      <c r="T43" s="118"/>
      <c r="U43" s="119"/>
    </row>
    <row r="44" spans="14:21">
      <c r="N44" s="34" t="s">
        <v>67</v>
      </c>
      <c r="O44" s="89"/>
      <c r="P44" s="20" t="str">
        <f>IF(O41&lt;&gt;1,"ー",IF(ISBLANK(O44),"",IF(O44=1,"本日中",IF(O44=5,"期間指定",IF(O44=6,"大引け不成",IF(O44=7,"不成",""))))))</f>
        <v>ー</v>
      </c>
      <c r="Q44" s="117" t="s">
        <v>206</v>
      </c>
      <c r="R44" s="118"/>
      <c r="S44" s="118"/>
      <c r="T44" s="118"/>
      <c r="U44" s="119"/>
    </row>
    <row r="45" spans="14:21">
      <c r="N45" s="34" t="s">
        <v>66</v>
      </c>
      <c r="O45" s="33"/>
      <c r="P45" s="20" t="s">
        <v>65</v>
      </c>
      <c r="Q45" s="119" t="s">
        <v>64</v>
      </c>
      <c r="R45" s="116"/>
      <c r="S45" s="116"/>
      <c r="T45" s="116"/>
      <c r="U45" s="116"/>
    </row>
    <row r="46" spans="14:21">
      <c r="N46" s="23" t="s">
        <v>285</v>
      </c>
      <c r="O46" s="23" t="e" cm="1">
        <f t="array" ref="O46">_xlfn.LET(
  _xlpm.r, 建玉一覧!K3:K1006,
  _xlpm.p, LOOKUP(2, 1/(ISNUMBER(_xlpm.r)), ROW(_xlpm.r)),
  INDEX(建玉一覧!K:K, _xlpm.p)
)</f>
        <v>#N/A</v>
      </c>
    </row>
    <row r="47" spans="14:21">
      <c r="N47" s="23" t="s">
        <v>286</v>
      </c>
      <c r="O47" s="23" t="e" cm="1">
        <f t="array" ref="O47">_xlfn.LET(
  _xlpm.r, 建玉一覧!J3:J1006,
  _xlpm.p, LOOKUP(2, 1/(ISNUMBER(_xlpm.r)), ROW(_xlpm.r)),
  INDEX(建玉一覧!J:J, _xlpm.p)
)</f>
        <v>#N/A</v>
      </c>
    </row>
    <row r="48" spans="14:21">
      <c r="N48" s="23" t="s">
        <v>287</v>
      </c>
      <c r="O48" s="23" t="e" cm="1">
        <f t="array" ref="O48">_xlfn.LET(
  _xlpm.s, SUBSTITUTE(建玉一覧!D3:D1006,"'",""),
  _xlpm.m, LOOKUP(2, 1/ISNUMBER(MATCH(_xlpm.s, {"東証","JAX"}, 0)), _xlpm.s),
  IF(_xlpm.m="東証",1, IF(_xlpm.m="JAX",5, ""))
)</f>
        <v>#N/A</v>
      </c>
    </row>
    <row r="49" spans="2:15">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5">
      <c r="B50" s="22" t="s">
        <v>63</v>
      </c>
      <c r="C50" s="22" t="s">
        <v>62</v>
      </c>
      <c r="D50" s="22" t="s">
        <v>209</v>
      </c>
      <c r="E50" s="22" t="s">
        <v>181</v>
      </c>
      <c r="F50" s="22" t="s">
        <v>60</v>
      </c>
      <c r="G50" s="22" t="s">
        <v>59</v>
      </c>
      <c r="H50" s="22" t="s">
        <v>58</v>
      </c>
      <c r="I50" s="22" t="s">
        <v>57</v>
      </c>
      <c r="J50" s="22" t="s">
        <v>56</v>
      </c>
      <c r="K50" s="22" t="s">
        <v>55</v>
      </c>
      <c r="L50" s="22" t="s">
        <v>54</v>
      </c>
      <c r="N50" s="23" t="s">
        <v>294</v>
      </c>
      <c r="O50" s="23" t="e" cm="1">
        <f t="array" aca="1" ref="O50" ca="1">_xlfn.LET(
  _xlpm.dummy, NOW()*0,
  _xlpm.r, 発注ID一覧!E7:E1006,
  _xlpm.p, LOOKUP(2, 1/(ISNUMBER(_xlpm.r)), ROW(_xlpm.r)),
  INDEX(発注ID一覧!E:E, _xlpm.p)
)</f>
        <v>#N/A</v>
      </c>
    </row>
    <row r="51" spans="2:15">
      <c r="B51" s="31" t="s">
        <v>261</v>
      </c>
      <c r="C51" s="31" t="s">
        <v>227</v>
      </c>
      <c r="D51" s="31" t="s">
        <v>236</v>
      </c>
      <c r="E51" s="29" t="s">
        <v>237</v>
      </c>
      <c r="F51" s="30">
        <v>578900</v>
      </c>
      <c r="G51" s="30">
        <v>1187</v>
      </c>
      <c r="H51" s="30">
        <v>1193</v>
      </c>
      <c r="I51" s="30">
        <v>1178</v>
      </c>
      <c r="J51" s="30">
        <v>1189</v>
      </c>
      <c r="K51" s="32">
        <v>1182.8</v>
      </c>
      <c r="L51" s="32">
        <v>1190.8</v>
      </c>
    </row>
    <row r="52" spans="2:15">
      <c r="B52" s="22"/>
      <c r="C52" s="22"/>
      <c r="D52" s="22" t="s">
        <v>236</v>
      </c>
      <c r="E52" s="29" t="s">
        <v>238</v>
      </c>
      <c r="F52" s="30">
        <v>226700</v>
      </c>
      <c r="G52" s="30">
        <v>1190</v>
      </c>
      <c r="H52" s="30">
        <v>1191</v>
      </c>
      <c r="I52" s="30">
        <v>1181</v>
      </c>
      <c r="J52" s="30">
        <v>1188</v>
      </c>
      <c r="K52" s="32">
        <v>1182.9000000000001</v>
      </c>
      <c r="L52" s="32">
        <v>1190.5999999999999</v>
      </c>
    </row>
    <row r="53" spans="2:15">
      <c r="B53" s="22"/>
      <c r="C53" s="22"/>
      <c r="D53" s="22" t="s">
        <v>236</v>
      </c>
      <c r="E53" s="29" t="s">
        <v>239</v>
      </c>
      <c r="F53" s="30">
        <v>174200</v>
      </c>
      <c r="G53" s="30">
        <v>1188</v>
      </c>
      <c r="H53" s="30">
        <v>1190</v>
      </c>
      <c r="I53" s="30">
        <v>1181</v>
      </c>
      <c r="J53" s="30">
        <v>1188</v>
      </c>
      <c r="K53" s="32">
        <v>1183.2</v>
      </c>
      <c r="L53" s="32">
        <v>1190.4000000000001</v>
      </c>
    </row>
    <row r="54" spans="2:15">
      <c r="B54" s="22"/>
      <c r="C54" s="22"/>
      <c r="D54" s="22" t="s">
        <v>236</v>
      </c>
      <c r="E54" s="29" t="s">
        <v>240</v>
      </c>
      <c r="F54" s="30">
        <v>135900</v>
      </c>
      <c r="G54" s="30">
        <v>1188</v>
      </c>
      <c r="H54" s="30">
        <v>1194</v>
      </c>
      <c r="I54" s="30">
        <v>1186</v>
      </c>
      <c r="J54" s="30">
        <v>1193</v>
      </c>
      <c r="K54" s="32">
        <v>1184</v>
      </c>
      <c r="L54" s="32">
        <v>1190.4000000000001</v>
      </c>
    </row>
    <row r="55" spans="2:15">
      <c r="B55" s="22"/>
      <c r="C55" s="22"/>
      <c r="D55" s="22" t="s">
        <v>236</v>
      </c>
      <c r="E55" s="29" t="s">
        <v>241</v>
      </c>
      <c r="F55" s="30">
        <v>87600</v>
      </c>
      <c r="G55" s="30">
        <v>1193</v>
      </c>
      <c r="H55" s="30">
        <v>1194</v>
      </c>
      <c r="I55" s="30">
        <v>1189</v>
      </c>
      <c r="J55" s="30">
        <v>1191</v>
      </c>
      <c r="K55" s="32">
        <v>1185.2</v>
      </c>
      <c r="L55" s="32">
        <v>1190</v>
      </c>
    </row>
    <row r="56" spans="2:15">
      <c r="B56" s="22"/>
      <c r="C56" s="22"/>
      <c r="D56" s="22" t="s">
        <v>236</v>
      </c>
      <c r="E56" s="29" t="s">
        <v>242</v>
      </c>
      <c r="F56" s="30">
        <v>109700</v>
      </c>
      <c r="G56" s="30">
        <v>1191</v>
      </c>
      <c r="H56" s="30">
        <v>1192</v>
      </c>
      <c r="I56" s="30">
        <v>1188</v>
      </c>
      <c r="J56" s="30">
        <v>1190</v>
      </c>
      <c r="K56" s="32">
        <v>1186.3</v>
      </c>
      <c r="L56" s="32">
        <v>1189.8</v>
      </c>
    </row>
    <row r="57" spans="2:15">
      <c r="B57" s="22"/>
      <c r="C57" s="22"/>
      <c r="D57" s="22" t="s">
        <v>236</v>
      </c>
      <c r="E57" s="29" t="s">
        <v>243</v>
      </c>
      <c r="F57" s="30">
        <v>40900</v>
      </c>
      <c r="G57" s="30">
        <v>1191</v>
      </c>
      <c r="H57" s="30">
        <v>1192</v>
      </c>
      <c r="I57" s="30">
        <v>1189</v>
      </c>
      <c r="J57" s="30">
        <v>1192</v>
      </c>
      <c r="K57" s="32">
        <v>1187.5999999999999</v>
      </c>
      <c r="L57" s="32">
        <v>1189.4000000000001</v>
      </c>
    </row>
    <row r="58" spans="2:15">
      <c r="B58" s="22"/>
      <c r="C58" s="22"/>
      <c r="D58" s="22" t="s">
        <v>236</v>
      </c>
      <c r="E58" s="29" t="s">
        <v>244</v>
      </c>
      <c r="F58" s="30">
        <v>50200</v>
      </c>
      <c r="G58" s="30">
        <v>1192</v>
      </c>
      <c r="H58" s="30">
        <v>1192</v>
      </c>
      <c r="I58" s="30">
        <v>1190</v>
      </c>
      <c r="J58" s="30">
        <v>1190</v>
      </c>
      <c r="K58" s="32">
        <v>1188.3</v>
      </c>
      <c r="L58" s="32">
        <v>1189</v>
      </c>
    </row>
    <row r="59" spans="2:15">
      <c r="B59" s="22"/>
      <c r="C59" s="22"/>
      <c r="D59" s="22" t="s">
        <v>236</v>
      </c>
      <c r="E59" s="29" t="s">
        <v>245</v>
      </c>
      <c r="F59" s="30">
        <v>124800</v>
      </c>
      <c r="G59" s="30">
        <v>1190</v>
      </c>
      <c r="H59" s="30">
        <v>1191</v>
      </c>
      <c r="I59" s="30">
        <v>1186</v>
      </c>
      <c r="J59" s="30">
        <v>1191</v>
      </c>
      <c r="K59" s="32">
        <v>1189.4000000000001</v>
      </c>
      <c r="L59" s="32">
        <v>1188.5999999999999</v>
      </c>
    </row>
    <row r="60" spans="2:15">
      <c r="B60" s="22"/>
      <c r="C60" s="22"/>
      <c r="D60" s="22" t="s">
        <v>236</v>
      </c>
      <c r="E60" s="29" t="s">
        <v>246</v>
      </c>
      <c r="F60" s="30">
        <v>68500</v>
      </c>
      <c r="G60" s="30">
        <v>1191</v>
      </c>
      <c r="H60" s="30">
        <v>1192</v>
      </c>
      <c r="I60" s="30">
        <v>1190</v>
      </c>
      <c r="J60" s="30">
        <v>1191</v>
      </c>
      <c r="K60" s="32">
        <v>1190.3</v>
      </c>
      <c r="L60" s="32">
        <v>1188.5999999999999</v>
      </c>
    </row>
    <row r="61" spans="2:15">
      <c r="B61" s="22"/>
      <c r="C61" s="22"/>
      <c r="D61" s="22" t="s">
        <v>236</v>
      </c>
      <c r="E61" s="29" t="s">
        <v>247</v>
      </c>
      <c r="F61" s="30">
        <v>47800</v>
      </c>
      <c r="G61" s="30">
        <v>1191</v>
      </c>
      <c r="H61" s="30">
        <v>1191</v>
      </c>
      <c r="I61" s="30">
        <v>1188</v>
      </c>
      <c r="J61" s="30">
        <v>1189</v>
      </c>
      <c r="K61" s="32">
        <v>1190.3</v>
      </c>
      <c r="L61" s="32">
        <v>1188.3</v>
      </c>
    </row>
    <row r="62" spans="2:15">
      <c r="B62" s="22"/>
      <c r="C62" s="22"/>
      <c r="D62" s="22" t="s">
        <v>236</v>
      </c>
      <c r="E62" s="29" t="s">
        <v>248</v>
      </c>
      <c r="F62" s="30">
        <v>112300</v>
      </c>
      <c r="G62" s="30">
        <v>1188</v>
      </c>
      <c r="H62" s="30">
        <v>1188</v>
      </c>
      <c r="I62" s="30">
        <v>1183</v>
      </c>
      <c r="J62" s="30">
        <v>1183</v>
      </c>
      <c r="K62" s="32">
        <v>1189.8</v>
      </c>
      <c r="L62" s="32">
        <v>1187.8</v>
      </c>
    </row>
    <row r="63" spans="2:15">
      <c r="B63" s="22"/>
      <c r="C63" s="22"/>
      <c r="D63" s="22" t="s">
        <v>236</v>
      </c>
      <c r="E63" s="29" t="s">
        <v>249</v>
      </c>
      <c r="F63" s="30">
        <v>94900</v>
      </c>
      <c r="G63" s="30">
        <v>1184</v>
      </c>
      <c r="H63" s="30">
        <v>1186</v>
      </c>
      <c r="I63" s="30">
        <v>1183</v>
      </c>
      <c r="J63" s="30">
        <v>1184</v>
      </c>
      <c r="K63" s="32">
        <v>1189.4000000000001</v>
      </c>
      <c r="L63" s="32">
        <v>1187.2</v>
      </c>
    </row>
    <row r="64" spans="2:15">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Q41:U41"/>
    <mergeCell ref="Q42:U42"/>
    <mergeCell ref="Q43:U43"/>
    <mergeCell ref="Q44:U44"/>
    <mergeCell ref="Q45:U45"/>
    <mergeCell ref="Q40:U40"/>
    <mergeCell ref="Q29:U29"/>
    <mergeCell ref="Q30:U30"/>
    <mergeCell ref="Q31:U31"/>
    <mergeCell ref="Q32:U32"/>
    <mergeCell ref="Q33:U33"/>
    <mergeCell ref="Q34:U34"/>
    <mergeCell ref="Q35:U35"/>
    <mergeCell ref="Q36:U36"/>
    <mergeCell ref="Q37:U37"/>
    <mergeCell ref="Q38:U38"/>
    <mergeCell ref="Q39:U39"/>
    <mergeCell ref="Q28:U28"/>
    <mergeCell ref="I19:L19"/>
    <mergeCell ref="I20:J20"/>
    <mergeCell ref="K20:L20"/>
    <mergeCell ref="I21:J21"/>
    <mergeCell ref="K21:L21"/>
    <mergeCell ref="Q21:U21"/>
    <mergeCell ref="Q22:U22"/>
    <mergeCell ref="Q23:U23"/>
    <mergeCell ref="Q25:U25"/>
    <mergeCell ref="Q26:U26"/>
    <mergeCell ref="Q27:U27"/>
    <mergeCell ref="T18:U18"/>
    <mergeCell ref="C10:D10"/>
    <mergeCell ref="C11:D11"/>
    <mergeCell ref="K15:L15"/>
    <mergeCell ref="K16:L16"/>
    <mergeCell ref="R18:S18"/>
  </mergeCells>
  <phoneticPr fontId="4"/>
  <conditionalFormatting sqref="O33">
    <cfRule type="expression" dxfId="8" priority="8">
      <formula>$O$32=0</formula>
    </cfRule>
  </conditionalFormatting>
  <conditionalFormatting sqref="O35">
    <cfRule type="expression" dxfId="7" priority="7">
      <formula>$O$34&lt;&gt;5</formula>
    </cfRule>
  </conditionalFormatting>
  <conditionalFormatting sqref="O45">
    <cfRule type="expression" dxfId="6" priority="3">
      <formula>$O$41=0</formula>
    </cfRule>
    <cfRule type="expression" dxfId="5" priority="6">
      <formula>$O$44&lt;&gt;5</formula>
    </cfRule>
  </conditionalFormatting>
  <conditionalFormatting sqref="N30:U30 N42:U42">
    <cfRule type="expression" dxfId="4" priority="9">
      <formula>$O$26&lt;&gt;1</formula>
    </cfRule>
  </conditionalFormatting>
  <conditionalFormatting sqref="O42">
    <cfRule type="expression" dxfId="3" priority="5">
      <formula>$O$26=0</formula>
    </cfRule>
  </conditionalFormatting>
  <conditionalFormatting sqref="O42:O44">
    <cfRule type="expression" dxfId="2" priority="4">
      <formula>$O$41=0</formula>
    </cfRule>
  </conditionalFormatting>
  <conditionalFormatting sqref="O40">
    <cfRule type="expression" dxfId="1" priority="2">
      <formula>OR(AND($O$28&lt;&gt;1,$O$28&lt;&gt;2),$O$39&lt;&gt;1)</formula>
    </cfRule>
  </conditionalFormatting>
  <conditionalFormatting sqref="O37:O39">
    <cfRule type="expression" dxfId="0" priority="1">
      <formula>AND($O$28&lt;&gt;1,$O$28&lt;&gt;2)</formula>
    </cfRule>
  </conditionalFormatting>
  <dataValidations count="13">
    <dataValidation type="list" allowBlank="1" showErrorMessage="1" errorTitle="売買区分　入力値エラー" error="1，3以外の数値は入力できません" promptTitle="売買区分" prompt="1:売（売建）_x000a_3:買（買建)" sqref="O27" xr:uid="{9136CCC8-03DE-4F00-A58A-30F15B45134B}">
      <formula1>"1,3"</formula1>
    </dataValidation>
    <dataValidation type="list" allowBlank="1" showErrorMessage="1" errorTitle="セット注文価格区分 入力値エラー" error="1,2以外の数値は入力できません" promptTitle="セット注文価格区分" prompt="1:指値_x000a_2:値幅指定_x000a_" sqref="O42" xr:uid="{95B31F7D-D91C-42F0-A494-3BC13F6559E5}">
      <formula1>"1,2"</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6D991FA8-63B2-4436-A0F2-FD6F3A23D29E}">
      <formula1>"1,2,3,4,5,6,7"</formula1>
    </dataValidation>
    <dataValidation type="list" allowBlank="1" showErrorMessage="1" errorTitle="セット注文区分　入力値エラー" error="0,1以外の数値は入力できません" promptTitle="セット注文区分" prompt="0:予約しない_x000a_1:予約する" sqref="O41" xr:uid="{13128B03-512B-4C73-9990-6B0B49FC7400}">
      <formula1>"0,1"</formula1>
    </dataValidation>
    <dataValidation type="list" allowBlank="1" showErrorMessage="1" errorTitle="逆指値価格区分　入力値エラー" error="0,1以外の数値は入力できません" promptTitle="逆指値価格区分" prompt="0:成行_x000a_1:指値" sqref="O39" xr:uid="{AB6A8831-A1E4-4CD8-BFDB-839728A39A2B}">
      <formula1>"0,1"</formula1>
    </dataValidation>
    <dataValidation type="list" allowBlank="1" showErrorMessage="1" errorTitle="逆指値条件区分　入力値エラー" error="1,2以外の数値は入力できません" promptTitle="逆指値条件区分" prompt="1:以上_x000a_2:以下" sqref="O38" xr:uid="{D95DFDEA-7C0F-4C24-9208-E2AB5345624A}">
      <formula1>"1,2"</formula1>
    </dataValidation>
    <dataValidation type="list" allowBlank="1" showErrorMessage="1" errorTitle="価格区分　入力値エラー" error="0，1以外の数値は入力できません" promptTitle="価格区分" prompt="0：成行_x000a_1：指値" sqref="O32" xr:uid="{071AD952-0E12-411A-9A5E-01D059238883}">
      <formula1>"0,1"</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271C9EB-BD73-4219-A9D8-6D63DFE47EE7}">
      <formula1>"1,2,3,4,5,6,7"</formula1>
    </dataValidation>
    <dataValidation type="list" allowBlank="1" showErrorMessage="1" errorTitle="口座区分　入力値エラー" error="0,1,2以外の数値は入力できません" promptTitle="口座区分" prompt="0:特定_x000a_1:一般_x000a_2:NISA" sqref="O36" xr:uid="{5405C507-C197-4B13-B1BA-113FA5D54FB0}">
      <formula1>"0,1,2"</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679EAA3E-2095-490A-8A4D-51353947F810}">
      <formula1>"1,2,3,4"</formula1>
    </dataValidation>
    <dataValidation type="list" allowBlank="1" showErrorMessage="1" errorTitle="SOR区分" error="0，1以外の数値は入力できません" promptTitle="SOR区分" prompt="0:通常注文_x000a_1:SOR注文" sqref="O29" xr:uid="{880383D3-9623-46CA-8464-F30852877408}">
      <formula1>"0,1"</formula1>
    </dataValidation>
    <dataValidation type="list" allowBlank="1" showErrorMessage="1" errorTitle="入力値エラー" error="0，1以外の数値は入力できません" promptTitle="注文種類" prompt="0：現物_x000a_1：信用" sqref="O26" xr:uid="{31736301-911E-4FB5-A683-1132714798BB}">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O28" xr:uid="{C2081845-42BB-4ECC-B431-DD1183F2AFE6}">
      <formula1>"0,1,2"</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目次</vt:lpstr>
      <vt:lpstr>一括発注_国内株</vt:lpstr>
      <vt:lpstr>一括発注_先物OP</vt:lpstr>
      <vt:lpstr>トリガー発注</vt:lpstr>
      <vt:lpstr>発注ID一覧</vt:lpstr>
      <vt:lpstr>建玉一覧</vt:lpstr>
      <vt:lpstr>トリガー発注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Kawakami, Taichi</dc:creator>
  <cp:lastModifiedBy>ひろと さかもと</cp:lastModifiedBy>
  <dcterms:created xsi:type="dcterms:W3CDTF">2021-05-24T19:40:01Z</dcterms:created>
  <dcterms:modified xsi:type="dcterms:W3CDTF">2026-02-06T01:27:18Z</dcterms:modified>
</cp:coreProperties>
</file>