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h1205\Downloads\"/>
    </mc:Choice>
  </mc:AlternateContent>
  <xr:revisionPtr revIDLastSave="0" documentId="13_ncr:1_{6EDC088E-A6E9-417F-B446-A429CFB31C0E}" xr6:coauthVersionLast="47" xr6:coauthVersionMax="47" xr10:uidLastSave="{00000000-0000-0000-0000-000000000000}"/>
  <bookViews>
    <workbookView xWindow="60" yWindow="30" windowWidth="23610" windowHeight="15690" firstSheet="3" activeTab="3" xr2:uid="{00000000-000D-0000-FFFF-FFFF00000000}"/>
  </bookViews>
  <sheets>
    <sheet name="目次" sheetId="4" r:id="rId1"/>
    <sheet name="一括発注_国内株" sheetId="1" r:id="rId2"/>
    <sheet name="一括発注_先物OP" sheetId="2" r:id="rId3"/>
    <sheet name="トリガー発注" sheetId="3" r:id="rId4"/>
    <sheet name="発注ID一覧" sheetId="5" r:id="rId5"/>
    <sheet name="建玉一覧" sheetId="6" r:id="rId6"/>
    <sheet name="トリガー発注 (2)" sheetId="7" r:id="rId7"/>
  </sheets>
  <definedNames>
    <definedName name="_xlpm.dummy" hidden="1" xlm="1">#NAME?</definedName>
    <definedName name="_xlpm.m" hidden="1" xlm="1">#NAME?</definedName>
    <definedName name="_xlpm.p" hidden="1" xlm="1">#NAME?</definedName>
    <definedName name="_xlpm.r" hidden="1" xlm="1">#NAME?</definedName>
    <definedName name="_xlpm.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22" i="7" l="1"/>
  <c r="O43" i="3"/>
  <c r="O33" i="7"/>
  <c r="O31" i="7"/>
  <c r="T19" i="7"/>
  <c r="AA12" i="7"/>
  <c r="Z12" i="7"/>
  <c r="R20" i="7"/>
  <c r="Y12" i="3" a="1"/>
  <c r="Y12" i="3" s="1"/>
  <c r="X12" i="3" a="1"/>
  <c r="X12" i="3" s="1"/>
  <c r="W12" i="3" a="1"/>
  <c r="W12" i="3" s="1"/>
  <c r="V12" i="3" a="1"/>
  <c r="V12" i="3" s="1"/>
  <c r="T12" i="3" a="1"/>
  <c r="T12" i="3" s="1"/>
  <c r="S12" i="3" a="1"/>
  <c r="S12" i="3" s="1"/>
  <c r="Y12" i="7" a="1"/>
  <c r="Y12" i="7" s="1"/>
  <c r="X12" i="7" a="1"/>
  <c r="X12" i="7" s="1"/>
  <c r="W12" i="7" a="1"/>
  <c r="W12" i="7" s="1"/>
  <c r="V12" i="7" a="1"/>
  <c r="V12" i="7" s="1"/>
  <c r="T12" i="7" a="1"/>
  <c r="T12" i="7" s="1"/>
  <c r="S12" i="7" a="1"/>
  <c r="S12" i="7" s="1"/>
  <c r="O46" i="7" a="1"/>
  <c r="O46" i="7" s="1"/>
  <c r="O47" i="7" a="1"/>
  <c r="O47" i="7" s="1"/>
  <c r="O48" i="7" a="1"/>
  <c r="O48" i="7" s="1"/>
  <c r="O50" i="7" a="1"/>
  <c r="O50" i="7" s="1"/>
  <c r="K16" i="7"/>
  <c r="O27" i="7"/>
  <c r="P27" i="7" s="1"/>
  <c r="P44" i="7"/>
  <c r="Q42" i="7"/>
  <c r="P42" i="7"/>
  <c r="N42" i="7"/>
  <c r="P41" i="7"/>
  <c r="P39" i="7"/>
  <c r="P38" i="7"/>
  <c r="P36" i="7"/>
  <c r="P34" i="7"/>
  <c r="P32" i="7"/>
  <c r="Q30" i="7"/>
  <c r="P30" i="7"/>
  <c r="N30" i="7"/>
  <c r="P29" i="7"/>
  <c r="P28" i="7"/>
  <c r="P26" i="7"/>
  <c r="O23" i="7"/>
  <c r="V16" i="7"/>
  <c r="R17" i="7" s="1"/>
  <c r="V15" i="7"/>
  <c r="E11" i="7"/>
  <c r="D16" i="7"/>
  <c r="H16" i="7"/>
  <c r="H14" i="7"/>
  <c r="C17" i="7"/>
  <c r="D15" i="7"/>
  <c r="F17" i="7"/>
  <c r="F11" i="7"/>
  <c r="D17" i="7"/>
  <c r="H13" i="7"/>
  <c r="F15" i="7"/>
  <c r="D18" i="7"/>
  <c r="P23" i="7"/>
  <c r="C16" i="7"/>
  <c r="O20" i="7" a="1"/>
  <c r="H15" i="7"/>
  <c r="F14" i="7"/>
  <c r="C15" i="7"/>
  <c r="C18" i="7"/>
  <c r="C13" i="7"/>
  <c r="F18" i="7"/>
  <c r="Q20" i="7"/>
  <c r="C11" i="7"/>
  <c r="B49" i="7"/>
  <c r="R5" i="7"/>
  <c r="K49" i="7"/>
  <c r="C14" i="7"/>
  <c r="D13" i="7"/>
  <c r="F16" i="7"/>
  <c r="F13" i="7"/>
  <c r="D14" i="7"/>
  <c r="O20" i="7" l="1"/>
  <c r="P20" i="7"/>
  <c r="U12" i="7"/>
  <c r="U19" i="7"/>
  <c r="T19" i="3"/>
  <c r="A1" i="6" a="1"/>
  <c r="A1" i="6" l="1"/>
  <c r="P42" i="3"/>
  <c r="P30" i="3"/>
  <c r="K49" i="3"/>
  <c r="R5" i="3"/>
  <c r="B49" i="3"/>
  <c r="N6" i="2"/>
  <c r="P6" i="1"/>
  <c r="F18" i="3"/>
  <c r="C11" i="3"/>
  <c r="A5" i="5"/>
  <c r="H14" i="3"/>
  <c r="F14" i="3"/>
  <c r="P28" i="3" l="1"/>
  <c r="J34" i="1" l="1"/>
  <c r="J33" i="1"/>
  <c r="J32" i="1"/>
  <c r="J31" i="1"/>
  <c r="J30" i="1"/>
  <c r="J29" i="1"/>
  <c r="J28" i="1"/>
  <c r="J27" i="1"/>
  <c r="J26" i="1"/>
  <c r="J25" i="1"/>
  <c r="I34" i="1"/>
  <c r="I33" i="1"/>
  <c r="I32" i="1"/>
  <c r="I31" i="1"/>
  <c r="I30" i="1"/>
  <c r="I29" i="1"/>
  <c r="I28" i="1"/>
  <c r="I27" i="1"/>
  <c r="I26" i="1"/>
  <c r="I25" i="1"/>
  <c r="A4" i="5" l="1"/>
  <c r="G30" i="2" l="1"/>
  <c r="G29" i="2"/>
  <c r="G28" i="2"/>
  <c r="G27" i="2"/>
  <c r="G26" i="2"/>
  <c r="G25" i="2"/>
  <c r="G24" i="2"/>
  <c r="G23" i="2"/>
  <c r="D21" i="1"/>
  <c r="D20" i="1"/>
  <c r="D19" i="1"/>
  <c r="D18" i="1"/>
  <c r="D17" i="1"/>
  <c r="D16" i="1"/>
  <c r="D15" i="1"/>
  <c r="D14" i="1"/>
  <c r="D13" i="1"/>
  <c r="D12" i="1"/>
  <c r="C13" i="1"/>
  <c r="B13" i="2"/>
  <c r="P36" i="3" l="1"/>
  <c r="F24" i="2" l="1"/>
  <c r="H24" i="2" s="1"/>
  <c r="F25" i="2"/>
  <c r="H25" i="2" s="1"/>
  <c r="F26" i="2"/>
  <c r="H26" i="2" s="1"/>
  <c r="F27" i="2"/>
  <c r="H27" i="2" s="1"/>
  <c r="F28" i="2"/>
  <c r="H28" i="2" s="1"/>
  <c r="F29" i="2"/>
  <c r="H29" i="2" s="1"/>
  <c r="F30" i="2"/>
  <c r="H30" i="2" s="1"/>
  <c r="F23" i="2"/>
  <c r="H23" i="2" s="1"/>
  <c r="H31" i="2" s="1"/>
  <c r="B26" i="1" l="1"/>
  <c r="B25" i="1"/>
  <c r="F26" i="1"/>
  <c r="E26" i="1"/>
  <c r="G26" i="1" s="1"/>
  <c r="F25" i="1"/>
  <c r="G25" i="1" s="1"/>
  <c r="E25" i="1"/>
  <c r="F27" i="1"/>
  <c r="F28" i="1"/>
  <c r="F29" i="1"/>
  <c r="F30" i="1"/>
  <c r="F31" i="1"/>
  <c r="F32" i="1"/>
  <c r="F33" i="1"/>
  <c r="F34" i="1"/>
  <c r="C12" i="2" l="1"/>
  <c r="D8" i="2" l="1"/>
  <c r="B23" i="2"/>
  <c r="C25" i="1"/>
  <c r="B14" i="2"/>
  <c r="B15" i="2" s="1"/>
  <c r="B16" i="2" s="1"/>
  <c r="B17" i="2" s="1"/>
  <c r="B18" i="2" s="1"/>
  <c r="B19" i="2" s="1"/>
  <c r="C14" i="1"/>
  <c r="C15" i="1" s="1"/>
  <c r="C16" i="1" s="1"/>
  <c r="C17" i="1" s="1"/>
  <c r="C18" i="1" s="1"/>
  <c r="C19" i="1" s="1"/>
  <c r="C20" i="1" s="1"/>
  <c r="C21" i="1" s="1"/>
  <c r="C19" i="2"/>
  <c r="C18" i="2"/>
  <c r="C17" i="2"/>
  <c r="E34" i="1"/>
  <c r="E33" i="1"/>
  <c r="E32" i="1"/>
  <c r="E31" i="1"/>
  <c r="E30" i="1"/>
  <c r="E29" i="1"/>
  <c r="E28" i="1"/>
  <c r="E27" i="1"/>
  <c r="D34" i="1"/>
  <c r="D33" i="1"/>
  <c r="D32" i="1"/>
  <c r="D31" i="1"/>
  <c r="D30" i="1"/>
  <c r="D28" i="1"/>
  <c r="D27" i="1"/>
  <c r="D26" i="1"/>
  <c r="H16" i="2"/>
  <c r="C27" i="2" s="1"/>
  <c r="H19" i="2"/>
  <c r="C30" i="2" s="1"/>
  <c r="H15" i="2"/>
  <c r="C26" i="2" s="1"/>
  <c r="H18" i="2"/>
  <c r="C29" i="2" s="1"/>
  <c r="H14" i="2"/>
  <c r="C25" i="2" s="1"/>
  <c r="H17" i="2"/>
  <c r="C28" i="2" s="1"/>
  <c r="H13" i="2"/>
  <c r="C24" i="2" s="1"/>
  <c r="H12" i="2"/>
  <c r="C23" i="2" s="1"/>
  <c r="D25" i="1"/>
  <c r="D29" i="1"/>
  <c r="E5" i="4" l="1"/>
  <c r="E8" i="4"/>
  <c r="E11" i="4"/>
  <c r="V15" i="3"/>
  <c r="V16" i="3"/>
  <c r="O23" i="3"/>
  <c r="P26" i="3"/>
  <c r="P27" i="3"/>
  <c r="P29" i="3"/>
  <c r="N30" i="3"/>
  <c r="Q30" i="3"/>
  <c r="P32" i="3"/>
  <c r="P34" i="3"/>
  <c r="P38" i="3"/>
  <c r="P39" i="3"/>
  <c r="P41" i="3"/>
  <c r="N42" i="3"/>
  <c r="Q42" i="3"/>
  <c r="P44" i="3"/>
  <c r="B24" i="2"/>
  <c r="C13" i="2"/>
  <c r="C14" i="2"/>
  <c r="C15" i="2"/>
  <c r="C16" i="2"/>
  <c r="J30" i="2"/>
  <c r="J26" i="2"/>
  <c r="J29" i="2"/>
  <c r="J25" i="2"/>
  <c r="J28" i="2"/>
  <c r="J24" i="2"/>
  <c r="J27" i="2"/>
  <c r="J23" i="2"/>
  <c r="H16" i="3"/>
  <c r="F13" i="3"/>
  <c r="C13" i="3"/>
  <c r="D16" i="3"/>
  <c r="D18" i="3"/>
  <c r="C16" i="3"/>
  <c r="D13" i="3"/>
  <c r="P23" i="3"/>
  <c r="D15" i="3"/>
  <c r="F16" i="3"/>
  <c r="F15" i="3"/>
  <c r="D14" i="3"/>
  <c r="D17" i="3"/>
  <c r="F11" i="3"/>
  <c r="C17" i="3"/>
  <c r="E11" i="3"/>
  <c r="H15" i="3"/>
  <c r="F17" i="3"/>
  <c r="C15" i="3"/>
  <c r="C14" i="3"/>
  <c r="C18" i="3"/>
  <c r="H13" i="3"/>
  <c r="R17" i="3" l="1"/>
  <c r="K27" i="2"/>
  <c r="K24" i="2"/>
  <c r="K28" i="2"/>
  <c r="K25" i="2"/>
  <c r="K29" i="2"/>
  <c r="K26" i="2"/>
  <c r="K30" i="2"/>
  <c r="K23" i="2"/>
  <c r="U12" i="3"/>
  <c r="E8" i="1"/>
  <c r="O20" i="3"/>
  <c r="P20" i="3" l="1"/>
  <c r="U19" i="3"/>
  <c r="B25" i="2"/>
  <c r="B26" i="2" l="1"/>
  <c r="C26" i="1"/>
  <c r="B27" i="2" l="1"/>
  <c r="B27" i="1"/>
  <c r="C27" i="1"/>
  <c r="B28" i="1"/>
  <c r="C28" i="1"/>
  <c r="B29" i="1"/>
  <c r="C29" i="1"/>
  <c r="B30" i="1"/>
  <c r="C30" i="1"/>
  <c r="G30" i="1"/>
  <c r="B31" i="1"/>
  <c r="C31" i="1"/>
  <c r="B32" i="1"/>
  <c r="C32" i="1"/>
  <c r="B33" i="1"/>
  <c r="C33" i="1"/>
  <c r="B34" i="1"/>
  <c r="C34" i="1"/>
  <c r="G36" i="1" l="1"/>
  <c r="B28" i="2"/>
  <c r="G32" i="1"/>
  <c r="G28" i="1"/>
  <c r="G34" i="1"/>
  <c r="G33" i="1"/>
  <c r="G29" i="1"/>
  <c r="G31" i="1"/>
  <c r="G27" i="1"/>
  <c r="G35" i="1" s="1"/>
  <c r="B29" i="2" l="1"/>
  <c r="B3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Okita, Goshi | Goshi | SECB</author>
    <author>山本 昭弘</author>
  </authors>
  <commentList>
    <comment ref="B11" authorId="0" shapeId="0" xr:uid="{00000000-0006-0000-0100-000001000000}">
      <text>
        <r>
          <rPr>
            <sz val="9"/>
            <color indexed="81"/>
            <rFont val="Meiryo UI"/>
            <family val="3"/>
            <charset val="128"/>
          </rPr>
          <t>0：現物
1：信用</t>
        </r>
      </text>
    </comment>
    <comment ref="C11" authorId="0" shapeId="0" xr:uid="{00000000-0006-0000-0100-000002000000}">
      <text>
        <r>
          <rPr>
            <sz val="9"/>
            <color indexed="81"/>
            <rFont val="Meiryo UI"/>
            <family val="3"/>
            <charset val="128"/>
          </rPr>
          <t xml:space="preserve">EXCEL単位で固有の管理番号の入力が必要となります
</t>
        </r>
      </text>
    </comment>
    <comment ref="D11" authorId="0" shapeId="0" xr:uid="{00000000-0006-0000-0100-000003000000}">
      <text>
        <r>
          <rPr>
            <sz val="9"/>
            <color indexed="81"/>
            <rFont val="Meiryo UI"/>
            <family val="3"/>
            <charset val="128"/>
          </rPr>
          <t>TRUE:発注
FALSE：待機
条件の入力が完了するまではFALSEとしてください</t>
        </r>
      </text>
    </comment>
    <comment ref="E11" authorId="0" shapeId="0" xr:uid="{00000000-0006-0000-0100-000004000000}">
      <text>
        <r>
          <rPr>
            <sz val="9"/>
            <color indexed="81"/>
            <rFont val="Meiryo UI"/>
            <family val="3"/>
            <charset val="128"/>
          </rPr>
          <t>「銘柄コード.市場」で入力「.市場」は省略可能。省略時は東証。
.T:東証
.JNX: JNX
.CHJ: Chi-X</t>
        </r>
      </text>
    </comment>
    <comment ref="F11" authorId="0" shapeId="0" xr:uid="{00000000-0006-0000-0100-000005000000}">
      <text>
        <r>
          <rPr>
            <sz val="9"/>
            <color indexed="81"/>
            <rFont val="Meiryo UI"/>
            <family val="3"/>
            <charset val="128"/>
          </rPr>
          <t>1：売
3：買</t>
        </r>
      </text>
    </comment>
    <comment ref="G11" authorId="0" shapeId="0" xr:uid="{00000000-0006-0000-0100-000006000000}">
      <text>
        <r>
          <rPr>
            <sz val="9"/>
            <color indexed="81"/>
            <rFont val="Meiryo UI"/>
            <family val="3"/>
            <charset val="128"/>
          </rPr>
          <t>0：通常注文
1：逆指値付通常注文
2：逆指値注文
省略時は通常注文</t>
        </r>
      </text>
    </comment>
    <comment ref="H11" authorId="0" shapeId="0" xr:uid="{00000000-0006-0000-0100-000007000000}">
      <text>
        <r>
          <rPr>
            <sz val="9"/>
            <color indexed="81"/>
            <rFont val="Meiryo UI"/>
            <family val="3"/>
            <charset val="128"/>
          </rPr>
          <t>0：通常注文
1：SOR注文</t>
        </r>
      </text>
    </comment>
    <comment ref="I11" authorId="1" shapeId="0" xr:uid="{00000000-0006-0000-0100-000008000000}">
      <text>
        <r>
          <rPr>
            <sz val="9"/>
            <color indexed="81"/>
            <rFont val="Meiryo UI"/>
            <family val="3"/>
            <charset val="128"/>
          </rPr>
          <t>1：制度信用（６カ月）
2：一般信用（無制限）
3：一般信用（１４日）
4：一般信用（いちにち）</t>
        </r>
      </text>
    </comment>
    <comment ref="J11" authorId="1" shapeId="0" xr:uid="{00000000-0006-0000-0100-000009000000}">
      <text>
        <r>
          <rPr>
            <sz val="9"/>
            <color indexed="81"/>
            <rFont val="Meiryo UI"/>
            <family val="3"/>
            <charset val="128"/>
          </rPr>
          <t>注文数量を入力</t>
        </r>
      </text>
    </comment>
    <comment ref="K11" authorId="0" shapeId="0" xr:uid="{00000000-0006-0000-0100-00000A000000}">
      <text>
        <r>
          <rPr>
            <sz val="9"/>
            <color indexed="81"/>
            <rFont val="Meiryo UI"/>
            <family val="3"/>
            <charset val="128"/>
          </rPr>
          <t xml:space="preserve">0：成行
1：指値
</t>
        </r>
      </text>
    </comment>
    <comment ref="L11" authorId="0" shapeId="0" xr:uid="{00000000-0006-0000-0100-00000B000000}">
      <text>
        <r>
          <rPr>
            <sz val="9"/>
            <color indexed="81"/>
            <rFont val="Meiryo UI"/>
            <family val="3"/>
            <charset val="128"/>
          </rPr>
          <t>注文価格を入力。
成行の場合は省略。
（注文区分が「0：通常注文」、
「1：逆指値付通常注文」の場合は必須）</t>
        </r>
      </text>
    </comment>
    <comment ref="M11" authorId="0" shapeId="0" xr:uid="{00000000-0006-0000-0100-00000C000000}">
      <text>
        <r>
          <rPr>
            <sz val="9"/>
            <color indexed="81"/>
            <rFont val="Meiryo UI"/>
            <family val="3"/>
            <charset val="128"/>
          </rPr>
          <t>1：本日中
2：今週中
3：寄付
4：引け
5：期間指定
6：大引不成
7：不成</t>
        </r>
      </text>
    </comment>
    <comment ref="N11" authorId="0" shapeId="0" xr:uid="{00000000-0006-0000-0100-00000D000000}">
      <text>
        <r>
          <rPr>
            <sz val="9"/>
            <color indexed="81"/>
            <rFont val="Meiryo UI"/>
            <family val="3"/>
            <charset val="128"/>
          </rPr>
          <t>YYYYMMDD
執行条件が「5：期間指定」の場合必須</t>
        </r>
      </text>
    </comment>
    <comment ref="O11" authorId="1" shapeId="0" xr:uid="{00000000-0006-0000-0100-00000E000000}">
      <text>
        <r>
          <rPr>
            <sz val="9"/>
            <color indexed="81"/>
            <rFont val="Meiryo UI"/>
            <family val="3"/>
            <charset val="128"/>
          </rPr>
          <t>0：特定
1：一般
2：NISA</t>
        </r>
      </text>
    </comment>
    <comment ref="P11" authorId="0" shapeId="0" xr:uid="{00000000-0006-0000-0100-00000F000000}">
      <text>
        <r>
          <rPr>
            <sz val="9"/>
            <color indexed="81"/>
            <rFont val="Meiryo UI"/>
            <family val="3"/>
            <charset val="128"/>
          </rPr>
          <t>逆指値条件価格を入力。
（注文区分が「1：逆指値付通常注文」、「2：逆指値注文」の場合必須）</t>
        </r>
      </text>
    </comment>
    <comment ref="Q11" authorId="1" shapeId="0" xr:uid="{00000000-0006-0000-0100-000010000000}">
      <text>
        <r>
          <rPr>
            <sz val="9"/>
            <color indexed="81"/>
            <rFont val="Meiryo UI"/>
            <family val="3"/>
            <charset val="128"/>
          </rPr>
          <t>1：以上
2：以下
（注文区分が「1：逆指値付き通常注文」、「2：逆指値注文」の場合必須）</t>
        </r>
      </text>
    </comment>
    <comment ref="R11" authorId="1" shapeId="0" xr:uid="{00000000-0006-0000-0100-000011000000}">
      <text>
        <r>
          <rPr>
            <sz val="9"/>
            <color indexed="81"/>
            <rFont val="Meiryo UI"/>
            <family val="3"/>
            <charset val="128"/>
          </rPr>
          <t>0：成行
1：指値
（注文区分が「1：逆指値付通常注文」、「2：逆指値注文」の場合必須）</t>
        </r>
      </text>
    </comment>
    <comment ref="S11" authorId="0" shapeId="0" xr:uid="{00000000-0006-0000-0100-000012000000}">
      <text>
        <r>
          <rPr>
            <sz val="9"/>
            <color indexed="81"/>
            <rFont val="Meiryo UI"/>
            <family val="3"/>
            <charset val="128"/>
          </rPr>
          <t>逆指値価格を入力。成行の場合は省略（注文区分が「」1：逆指値付通常注文」、「2：逆指値付注文」の場合必須）</t>
        </r>
      </text>
    </comment>
    <comment ref="T11" authorId="1" shapeId="0" xr:uid="{00000000-0006-0000-0100-000013000000}">
      <text>
        <r>
          <rPr>
            <sz val="9"/>
            <color indexed="81"/>
            <rFont val="Meiryo UI"/>
            <family val="3"/>
            <charset val="128"/>
          </rPr>
          <t>0：予約しない
1：予約する
（省略時は「予約しない」）</t>
        </r>
      </text>
    </comment>
    <comment ref="U11" authorId="0" shapeId="0" xr:uid="{00000000-0006-0000-0100-000014000000}">
      <text>
        <r>
          <rPr>
            <sz val="9"/>
            <color indexed="81"/>
            <rFont val="Meiryo UI"/>
            <family val="3"/>
            <charset val="128"/>
          </rPr>
          <t xml:space="preserve">1：指値
2：値幅指定
(セット注文区分が「1：セット注文(予約する)」の場合、必須。)
</t>
        </r>
      </text>
    </comment>
    <comment ref="V11" authorId="0" shapeId="0" xr:uid="{00000000-0006-0000-0100-000015000000}">
      <text>
        <r>
          <rPr>
            <sz val="9"/>
            <color indexed="81"/>
            <rFont val="Meiryo UI"/>
            <family val="3"/>
            <charset val="128"/>
          </rPr>
          <t xml:space="preserve">セット注文価格を入力
（セット注文区分が「1：セット注文（予約する）の場合、必須）
</t>
        </r>
      </text>
    </comment>
    <comment ref="W11" authorId="0" shapeId="0" xr:uid="{00000000-0006-0000-0100-000016000000}">
      <text>
        <r>
          <rPr>
            <sz val="9"/>
            <color indexed="81"/>
            <rFont val="Meiryo UI"/>
            <family val="3"/>
            <charset val="128"/>
          </rPr>
          <t xml:space="preserve">1：本日中
2：今週中
3：寄付
4：引け
5：期間指定
6：大引不成
7：不成
（セット注文区分が「1：セット注文（予約する）」の場合、必須
</t>
        </r>
      </text>
    </comment>
    <comment ref="X11" authorId="0" shapeId="0" xr:uid="{00000000-0006-0000-0100-000017000000}">
      <text>
        <r>
          <rPr>
            <sz val="9"/>
            <color indexed="81"/>
            <rFont val="Meiryo UI"/>
            <family val="3"/>
            <charset val="128"/>
          </rPr>
          <t>YYYYMMDD
セット注文執行条件が「5：期間指定」の場合必須</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Okita, Goshi | Goshi | SECB</author>
    <author>Kawakami, Taichi</author>
    <author>山本 昭弘</author>
  </authors>
  <commentList>
    <comment ref="B11" authorId="0" shapeId="0" xr:uid="{00000000-0006-0000-0200-000001000000}">
      <text>
        <r>
          <rPr>
            <sz val="9"/>
            <color indexed="81"/>
            <rFont val="Meiryo UI"/>
            <family val="3"/>
            <charset val="128"/>
          </rPr>
          <t xml:space="preserve">EXCEL単位で固有の
管理番号の入力が必要となります
</t>
        </r>
      </text>
    </comment>
    <comment ref="C11" authorId="0" shapeId="0" xr:uid="{00000000-0006-0000-0200-000002000000}">
      <text>
        <r>
          <rPr>
            <sz val="9"/>
            <color indexed="81"/>
            <rFont val="Meiryo UI"/>
            <family val="3"/>
            <charset val="128"/>
          </rPr>
          <t>1(TRUE) ：発注
0(FALSE)：待機
条件の入力が完了するまでは0としてください</t>
        </r>
      </text>
    </comment>
    <comment ref="D11" authorId="1" shapeId="0" xr:uid="{00000000-0006-0000-0200-000003000000}">
      <text>
        <r>
          <rPr>
            <sz val="9"/>
            <color indexed="81"/>
            <rFont val="Meiryo UI"/>
            <family val="3"/>
            <charset val="128"/>
          </rPr>
          <t>N225F：日経225先物、 N225MF：日経225先物ミニ、
MOTF：東証マザーズ先物、 N225OP：日経225オプション、
TOPXF：TOPIX先物、 JN400F：JPX日経400先物、
GOLDF：金、 GOLDMINIF：金ミニ、 GOLDSPOTF：金スポット、 PLATINUMF：白金、 PLATINUMMINIF：白金ミニ、 PLATINUMSPOTF：白金スポット、 SILVERF：銀、 
PALLADIUMF：パラジウム、 RSS3F：ゴム(RSS3)、
TSR20F：ゴム(TSR20)、 REDBEANF：小豆、
SOYBEANF：一般大豆、 CORNF：とうもろこし</t>
        </r>
      </text>
    </comment>
    <comment ref="E11" authorId="1" shapeId="0" xr:uid="{00000000-0006-0000-0200-000004000000}">
      <text>
        <r>
          <rPr>
            <sz val="9"/>
            <color indexed="81"/>
            <rFont val="Meiryo UI"/>
            <family val="3"/>
            <charset val="128"/>
          </rPr>
          <t>2021年3月限の場合「202103」
ウィークリーオプション時、
語尾に「#n」を指定
（例：2021年3月限4週「202103#4」）</t>
        </r>
      </text>
    </comment>
    <comment ref="F11" authorId="1" shapeId="0" xr:uid="{00000000-0006-0000-0200-000005000000}">
      <text>
        <r>
          <rPr>
            <sz val="9"/>
            <color indexed="81"/>
            <rFont val="Meiryo UI"/>
            <family val="3"/>
            <charset val="128"/>
          </rPr>
          <t>1：コール、
2：プット
（日経225オプション時、必須。）</t>
        </r>
      </text>
    </comment>
    <comment ref="G11" authorId="1" shapeId="0" xr:uid="{00000000-0006-0000-0200-000006000000}">
      <text>
        <r>
          <rPr>
            <sz val="9"/>
            <color indexed="81"/>
            <rFont val="Meiryo UI"/>
            <family val="3"/>
            <charset val="128"/>
          </rPr>
          <t>行使価格を入力する。
（日経225オプション時、必須。）</t>
        </r>
      </text>
    </comment>
    <comment ref="H11" authorId="0" shapeId="0" xr:uid="{00000000-0006-0000-0200-000007000000}">
      <text>
        <r>
          <rPr>
            <sz val="9"/>
            <color indexed="81"/>
            <rFont val="Meiryo UI"/>
            <family val="3"/>
            <charset val="128"/>
          </rPr>
          <t xml:space="preserve">先物・オプションの銘柄コードは、
取引所のルールに則り、9桁の数値にて構成されております。
</t>
        </r>
      </text>
    </comment>
    <comment ref="I11" authorId="0" shapeId="0" xr:uid="{00000000-0006-0000-0200-000008000000}">
      <text>
        <r>
          <rPr>
            <sz val="9"/>
            <color indexed="81"/>
            <rFont val="Meiryo UI"/>
            <family val="3"/>
            <charset val="128"/>
          </rPr>
          <t>1：売
3：買</t>
        </r>
      </text>
    </comment>
    <comment ref="J11" authorId="0" shapeId="0" xr:uid="{00000000-0006-0000-0200-000009000000}">
      <text>
        <r>
          <rPr>
            <sz val="9"/>
            <color indexed="81"/>
            <rFont val="Meiryo UI"/>
            <family val="3"/>
            <charset val="128"/>
          </rPr>
          <t>0：通常注文
1：逆指値付通常注文
2：逆指値注文
省略時は通常注文</t>
        </r>
      </text>
    </comment>
    <comment ref="K11" authorId="2" shapeId="0" xr:uid="{00000000-0006-0000-0200-00000A000000}">
      <text>
        <r>
          <rPr>
            <sz val="9"/>
            <color indexed="81"/>
            <rFont val="Meiryo UI"/>
            <family val="3"/>
            <charset val="128"/>
          </rPr>
          <t>注文数量を入力</t>
        </r>
      </text>
    </comment>
    <comment ref="L11" authorId="0" shapeId="0" xr:uid="{00000000-0006-0000-0200-00000B000000}">
      <text>
        <r>
          <rPr>
            <sz val="9"/>
            <color indexed="81"/>
            <rFont val="Meiryo UI"/>
            <family val="3"/>
            <charset val="128"/>
          </rPr>
          <t xml:space="preserve">0：成行
1：指値
</t>
        </r>
      </text>
    </comment>
    <comment ref="M11" authorId="0" shapeId="0" xr:uid="{00000000-0006-0000-0200-00000C000000}">
      <text>
        <r>
          <rPr>
            <sz val="9"/>
            <color indexed="81"/>
            <rFont val="Meiryo UI"/>
            <family val="3"/>
            <charset val="128"/>
          </rPr>
          <t>注文価格を入力。
成行の場合は省略。
（注文区分が「0：通常注文」、「1：逆指値付通常注文」の場合は必須）</t>
        </r>
      </text>
    </comment>
    <comment ref="N11" authorId="1" shapeId="0" xr:uid="{00000000-0006-0000-0200-00000D000000}">
      <text>
        <r>
          <rPr>
            <sz val="9"/>
            <color indexed="81"/>
            <rFont val="Meiryo UI"/>
            <family val="3"/>
            <charset val="128"/>
          </rPr>
          <t>1：FOK
2：FAK
3：FAS</t>
        </r>
      </text>
    </comment>
    <comment ref="O11" authorId="0" shapeId="0" xr:uid="{00000000-0006-0000-0200-00000E000000}">
      <text>
        <r>
          <rPr>
            <sz val="9"/>
            <color indexed="81"/>
            <rFont val="Meiryo UI"/>
            <family val="3"/>
            <charset val="128"/>
          </rPr>
          <t>1：本日中
4：引け
5：期間指定
9：取引最終日</t>
        </r>
      </text>
    </comment>
    <comment ref="P11" authorId="0" shapeId="0" xr:uid="{00000000-0006-0000-0200-00000F000000}">
      <text>
        <r>
          <rPr>
            <sz val="9"/>
            <color indexed="81"/>
            <rFont val="Meiryo UI"/>
            <family val="3"/>
            <charset val="128"/>
          </rPr>
          <t>YYYYMMDD
執行条件が「5：期間指定」の場合必須</t>
        </r>
      </text>
    </comment>
    <comment ref="Q11" authorId="0" shapeId="0" xr:uid="{00000000-0006-0000-0200-000010000000}">
      <text>
        <r>
          <rPr>
            <sz val="9"/>
            <color indexed="81"/>
            <rFont val="Meiryo UI"/>
            <family val="3"/>
            <charset val="128"/>
          </rPr>
          <t>逆指値条件価格を入力
（注文区分が「1：逆指値付通常注文」、「2：逆指値注文」の場合必須）</t>
        </r>
      </text>
    </comment>
    <comment ref="R11" authorId="2" shapeId="0" xr:uid="{00000000-0006-0000-0200-000011000000}">
      <text>
        <r>
          <rPr>
            <sz val="9"/>
            <color indexed="81"/>
            <rFont val="Meiryo UI"/>
            <family val="3"/>
            <charset val="128"/>
          </rPr>
          <t>1：以上
2：以下
（注文区分が「1：逆指値付き通常注文」、「2：逆指値注文」の場合必須）</t>
        </r>
      </text>
    </comment>
    <comment ref="S11" authorId="2" shapeId="0" xr:uid="{00000000-0006-0000-0200-000012000000}">
      <text>
        <r>
          <rPr>
            <sz val="9"/>
            <color indexed="81"/>
            <rFont val="Meiryo UI"/>
            <family val="3"/>
            <charset val="128"/>
          </rPr>
          <t>0：成行
1：指値
（注文区分が「1：逆指値付通常注文」、「2：逆指値注文」の場合必須）</t>
        </r>
      </text>
    </comment>
    <comment ref="T11" authorId="0" shapeId="0" xr:uid="{00000000-0006-0000-0200-000013000000}">
      <text>
        <r>
          <rPr>
            <sz val="9"/>
            <color indexed="81"/>
            <rFont val="Meiryo UI"/>
            <family val="3"/>
            <charset val="128"/>
          </rPr>
          <t>逆指値価格を入力。成行の場合は省略
（注文区分が「」1：逆指値付通常注文」、「2：逆指値付注文」の場合必須）</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Kawakami, Taichi</author>
  </authors>
  <commentList>
    <comment ref="G20" authorId="0" shapeId="0" xr:uid="{00000000-0006-0000-0300-000001000000}">
      <text>
        <r>
          <rPr>
            <b/>
            <sz val="11"/>
            <color indexed="81"/>
            <rFont val="MS P ゴシック"/>
            <family val="3"/>
            <charset val="128"/>
          </rPr>
          <t>以下から足種を選択
1M ：1分足
2M ：2分足
3M ：3分足
4M ：4分足
5M ：5分足
10M：10分足
15M：15分足
30M：30分足
60M：60分足
2H ：2時間足
4H ：4時間足
8H ：8時間足
D  ：日足
W  ：週足
M  ：月足</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Kawakami, Taichi</author>
  </authors>
  <commentList>
    <comment ref="G20" authorId="0" shapeId="0" xr:uid="{4309484A-2E1F-4C8F-808F-75FF98745A7D}">
      <text>
        <r>
          <rPr>
            <b/>
            <sz val="11"/>
            <color indexed="81"/>
            <rFont val="MS P ゴシック"/>
            <family val="3"/>
            <charset val="128"/>
          </rPr>
          <t>以下から足種を選択
1M ：1分足
2M ：2分足
3M ：3分足
4M ：4分足
5M ：5分足
10M：10分足
15M：15分足
30M：30分足
60M：60分足
2H ：2時間足
4H ：4時間足
8H ：8時間足
D  ：日足
W  ：週足
M  ：月足</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<sst xmlns="http://schemas.openxmlformats.org/spreadsheetml/2006/main" count="852" uniqueCount="295">
  <si>
    <t>信用合計</t>
    <rPh sb="0" eb="2">
      <t>シンヨウ</t>
    </rPh>
    <rPh sb="2" eb="4">
      <t>ゴウケイ</t>
    </rPh>
    <phoneticPr fontId="4"/>
  </si>
  <si>
    <t>現物合計</t>
    <rPh sb="0" eb="2">
      <t>ゲンブツ</t>
    </rPh>
    <rPh sb="2" eb="4">
      <t>ゴウケイ</t>
    </rPh>
    <phoneticPr fontId="4"/>
  </si>
  <si>
    <t>発注関数結果</t>
    <rPh sb="0" eb="2">
      <t>ハッチュウ</t>
    </rPh>
    <rPh sb="2" eb="4">
      <t>カンスウ</t>
    </rPh>
    <rPh sb="4" eb="6">
      <t>ケッカ</t>
    </rPh>
    <phoneticPr fontId="4"/>
  </si>
  <si>
    <t>発注関数</t>
    <rPh sb="0" eb="4">
      <t>ハッチュウカンスウ</t>
    </rPh>
    <phoneticPr fontId="4"/>
  </si>
  <si>
    <t>概算約定代金</t>
    <rPh sb="0" eb="2">
      <t>ガイサン</t>
    </rPh>
    <rPh sb="2" eb="6">
      <t>ヤクジョウダイキン</t>
    </rPh>
    <phoneticPr fontId="4"/>
  </si>
  <si>
    <t>注文価格</t>
    <rPh sb="2" eb="4">
      <t>カカク</t>
    </rPh>
    <phoneticPr fontId="2"/>
  </si>
  <si>
    <t>注文数量</t>
  </si>
  <si>
    <t>銘柄名</t>
    <rPh sb="0" eb="3">
      <t>メイガラメイ</t>
    </rPh>
    <phoneticPr fontId="4"/>
  </si>
  <si>
    <t>発注ID</t>
    <rPh sb="0" eb="2">
      <t>ハッチュウ</t>
    </rPh>
    <phoneticPr fontId="2"/>
  </si>
  <si>
    <t>現物/信用</t>
    <rPh sb="0" eb="2">
      <t>ゲンブツ</t>
    </rPh>
    <rPh sb="3" eb="5">
      <t>シンヨウ</t>
    </rPh>
    <phoneticPr fontId="2"/>
  </si>
  <si>
    <t>＜発注関数＞</t>
    <rPh sb="1" eb="3">
      <t>ハッチュウ</t>
    </rPh>
    <rPh sb="3" eb="5">
      <t>カンスウ</t>
    </rPh>
    <phoneticPr fontId="4"/>
  </si>
  <si>
    <t>＜発注内容-概算約定代金＞</t>
    <rPh sb="1" eb="3">
      <t>ハッチュウ</t>
    </rPh>
    <rPh sb="3" eb="5">
      <t>ナイヨウ</t>
    </rPh>
    <rPh sb="6" eb="8">
      <t>ガイサン</t>
    </rPh>
    <rPh sb="8" eb="12">
      <t>ヤクジョウダイキン</t>
    </rPh>
    <phoneticPr fontId="4"/>
  </si>
  <si>
    <t>セット注文期限</t>
    <rPh sb="3" eb="5">
      <t>チュウモン</t>
    </rPh>
    <rPh sb="5" eb="7">
      <t>キゲン</t>
    </rPh>
    <phoneticPr fontId="2"/>
  </si>
  <si>
    <t>セット注文執行条件</t>
    <rPh sb="3" eb="5">
      <t>チュウモン</t>
    </rPh>
    <rPh sb="5" eb="7">
      <t>シッコウ</t>
    </rPh>
    <rPh sb="7" eb="9">
      <t>ジョウケン</t>
    </rPh>
    <phoneticPr fontId="2"/>
  </si>
  <si>
    <t>セット注文価格</t>
    <rPh sb="3" eb="5">
      <t>チュウモン</t>
    </rPh>
    <rPh sb="5" eb="7">
      <t>カカク</t>
    </rPh>
    <phoneticPr fontId="2"/>
  </si>
  <si>
    <t>セット注文価格区分</t>
    <rPh sb="3" eb="5">
      <t>チュウモン</t>
    </rPh>
    <rPh sb="5" eb="7">
      <t>カカク</t>
    </rPh>
    <rPh sb="7" eb="9">
      <t>クブン</t>
    </rPh>
    <phoneticPr fontId="2"/>
  </si>
  <si>
    <t>セット注文区分</t>
    <rPh sb="3" eb="5">
      <t>チュウモン</t>
    </rPh>
    <rPh sb="5" eb="7">
      <t>クブン</t>
    </rPh>
    <phoneticPr fontId="2"/>
  </si>
  <si>
    <t>逆指値価格</t>
    <rPh sb="0" eb="1">
      <t>ギャク</t>
    </rPh>
    <rPh sb="1" eb="3">
      <t>サシネ</t>
    </rPh>
    <rPh sb="3" eb="5">
      <t>カカク</t>
    </rPh>
    <phoneticPr fontId="2"/>
  </si>
  <si>
    <t>逆指値価格区分</t>
    <rPh sb="0" eb="1">
      <t>ギャク</t>
    </rPh>
    <rPh sb="1" eb="3">
      <t>サシネ</t>
    </rPh>
    <rPh sb="3" eb="5">
      <t>カカク</t>
    </rPh>
    <rPh sb="5" eb="7">
      <t>クブン</t>
    </rPh>
    <phoneticPr fontId="2"/>
  </si>
  <si>
    <t>逆指値条件区分</t>
    <rPh sb="0" eb="1">
      <t>ギャク</t>
    </rPh>
    <rPh sb="1" eb="3">
      <t>サシネ</t>
    </rPh>
    <rPh sb="3" eb="5">
      <t>ジョウケン</t>
    </rPh>
    <rPh sb="5" eb="7">
      <t>クブン</t>
    </rPh>
    <phoneticPr fontId="2"/>
  </si>
  <si>
    <t>逆指値条件価格</t>
    <rPh sb="0" eb="1">
      <t>ギャク</t>
    </rPh>
    <rPh sb="1" eb="3">
      <t>サシネ</t>
    </rPh>
    <rPh sb="3" eb="5">
      <t>ジョウケン</t>
    </rPh>
    <rPh sb="5" eb="7">
      <t>カカク</t>
    </rPh>
    <phoneticPr fontId="2"/>
  </si>
  <si>
    <t>口座区分</t>
  </si>
  <si>
    <t>注文期限</t>
    <rPh sb="0" eb="2">
      <t>チュウモン</t>
    </rPh>
    <rPh sb="2" eb="4">
      <t>キゲン</t>
    </rPh>
    <phoneticPr fontId="2"/>
  </si>
  <si>
    <t>執行条件</t>
    <rPh sb="0" eb="2">
      <t>シッコウ</t>
    </rPh>
    <rPh sb="2" eb="4">
      <t>ジョウケン</t>
    </rPh>
    <phoneticPr fontId="2"/>
  </si>
  <si>
    <t>価格区分</t>
    <rPh sb="0" eb="2">
      <t>カカク</t>
    </rPh>
    <rPh sb="2" eb="4">
      <t>クブン</t>
    </rPh>
    <phoneticPr fontId="2"/>
  </si>
  <si>
    <t>信用区分</t>
    <rPh sb="0" eb="2">
      <t>シンヨウ</t>
    </rPh>
    <rPh sb="2" eb="4">
      <t>クブン</t>
    </rPh>
    <phoneticPr fontId="7"/>
  </si>
  <si>
    <t>SOR区分</t>
    <rPh sb="3" eb="5">
      <t>クブン</t>
    </rPh>
    <phoneticPr fontId="2"/>
  </si>
  <si>
    <t>注文区分</t>
    <rPh sb="0" eb="2">
      <t>チュウモン</t>
    </rPh>
    <rPh sb="2" eb="4">
      <t>クブン</t>
    </rPh>
    <phoneticPr fontId="7"/>
  </si>
  <si>
    <t>売買区分</t>
    <rPh sb="0" eb="2">
      <t>バイバイ</t>
    </rPh>
    <rPh sb="2" eb="4">
      <t>クブン</t>
    </rPh>
    <phoneticPr fontId="7"/>
  </si>
  <si>
    <t>銘柄コード</t>
  </si>
  <si>
    <t>発注トリガー</t>
    <rPh sb="0" eb="2">
      <t>ハッチュウ</t>
    </rPh>
    <phoneticPr fontId="7"/>
  </si>
  <si>
    <t>発注ID</t>
    <rPh sb="0" eb="2">
      <t>ハッチュウ</t>
    </rPh>
    <phoneticPr fontId="7"/>
  </si>
  <si>
    <t>注文種類</t>
    <rPh sb="0" eb="2">
      <t>チュウモン</t>
    </rPh>
    <rPh sb="2" eb="4">
      <t>シュルイ</t>
    </rPh>
    <phoneticPr fontId="2"/>
  </si>
  <si>
    <t>＜発注条件＞</t>
    <rPh sb="1" eb="5">
      <t>ハッチュウジョウケン</t>
    </rPh>
    <phoneticPr fontId="4"/>
  </si>
  <si>
    <t>信用口座_保証金率(新規建)</t>
    <phoneticPr fontId="4"/>
  </si>
  <si>
    <t>信用口座_信用新規建余力</t>
    <phoneticPr fontId="4"/>
  </si>
  <si>
    <t>信用口座_保証金余裕額</t>
    <phoneticPr fontId="4"/>
  </si>
  <si>
    <t>現物買付可能額</t>
    <phoneticPr fontId="4"/>
  </si>
  <si>
    <t>発注トリガー</t>
    <rPh sb="0" eb="2">
      <t>ハッチュウ</t>
    </rPh>
    <phoneticPr fontId="1"/>
  </si>
  <si>
    <t>発注トリガー</t>
    <rPh sb="0" eb="2">
      <t>ハッチュウ</t>
    </rPh>
    <phoneticPr fontId="4"/>
  </si>
  <si>
    <t>➂　発注ボタンをクリック、発注トリガーが1:発注となり、注文が発注されます</t>
    <rPh sb="2" eb="4">
      <t>ハッチュウ</t>
    </rPh>
    <rPh sb="13" eb="15">
      <t>ハッチュウ</t>
    </rPh>
    <rPh sb="22" eb="24">
      <t>ハッチュウ</t>
    </rPh>
    <rPh sb="28" eb="30">
      <t>チュウモン</t>
    </rPh>
    <rPh sb="31" eb="33">
      <t>ハッチュウ</t>
    </rPh>
    <phoneticPr fontId="4"/>
  </si>
  <si>
    <t>②　発注条件を入力（入力内容はセルのコメントを参照）。＜発注内容-概算約定代金＞が表示されます。</t>
    <rPh sb="28" eb="30">
      <t>ハッチュウ</t>
    </rPh>
    <rPh sb="30" eb="32">
      <t>ナイヨウ</t>
    </rPh>
    <rPh sb="33" eb="35">
      <t>ガイサン</t>
    </rPh>
    <rPh sb="35" eb="37">
      <t>ヤクジョウ</t>
    </rPh>
    <rPh sb="37" eb="39">
      <t>ダイキン</t>
    </rPh>
    <rPh sb="41" eb="43">
      <t>ヒョウジ</t>
    </rPh>
    <phoneticPr fontId="4"/>
  </si>
  <si>
    <t>①　発注IDセットボタンをクリック、発注トリガーが0:待機中となり、新規発注IDがセットされます。</t>
  </si>
  <si>
    <t>一括発注　国内株</t>
    <rPh sb="0" eb="4">
      <t>イッカツハッチュウ</t>
    </rPh>
    <rPh sb="5" eb="8">
      <t>コクナイカブ</t>
    </rPh>
    <phoneticPr fontId="4"/>
  </si>
  <si>
    <t>合計</t>
    <rPh sb="0" eb="2">
      <t>ゴウケイ</t>
    </rPh>
    <phoneticPr fontId="4"/>
  </si>
  <si>
    <t>行使価格</t>
    <rPh sb="0" eb="2">
      <t>コウシ</t>
    </rPh>
    <rPh sb="2" eb="4">
      <t>カカク</t>
    </rPh>
    <phoneticPr fontId="12"/>
  </si>
  <si>
    <t>限月</t>
    <rPh sb="0" eb="2">
      <t>ゲンゲツ</t>
    </rPh>
    <phoneticPr fontId="12"/>
  </si>
  <si>
    <t>銘柄種類</t>
    <rPh sb="0" eb="2">
      <t>メイガラ</t>
    </rPh>
    <rPh sb="2" eb="4">
      <t>シュルイ</t>
    </rPh>
    <phoneticPr fontId="12"/>
  </si>
  <si>
    <t>注文区分</t>
    <rPh sb="0" eb="2">
      <t>チュウモン</t>
    </rPh>
    <rPh sb="2" eb="4">
      <t>クブン</t>
    </rPh>
    <phoneticPr fontId="2"/>
  </si>
  <si>
    <t>売買区分</t>
  </si>
  <si>
    <t>C/P</t>
    <phoneticPr fontId="12"/>
  </si>
  <si>
    <t>発注トリガー</t>
    <rPh sb="0" eb="2">
      <t>ハッチュウ</t>
    </rPh>
    <phoneticPr fontId="2"/>
  </si>
  <si>
    <t>--------</t>
    <phoneticPr fontId="4"/>
  </si>
  <si>
    <t>一括発注　先物OP</t>
    <rPh sb="0" eb="4">
      <t>イッカツハッチュウ</t>
    </rPh>
    <rPh sb="5" eb="7">
      <t>サキモノ</t>
    </rPh>
    <phoneticPr fontId="4"/>
  </si>
  <si>
    <t>移動平均2</t>
    <rPh sb="0" eb="2">
      <t>イドウ</t>
    </rPh>
    <rPh sb="2" eb="4">
      <t>ヘイキン</t>
    </rPh>
    <phoneticPr fontId="1"/>
  </si>
  <si>
    <t>移動平均1</t>
    <rPh sb="0" eb="2">
      <t>イドウ</t>
    </rPh>
    <rPh sb="2" eb="4">
      <t>ヘイキン</t>
    </rPh>
    <phoneticPr fontId="1"/>
  </si>
  <si>
    <t>終値</t>
  </si>
  <si>
    <t>安値</t>
  </si>
  <si>
    <t>高値</t>
  </si>
  <si>
    <t>始値</t>
  </si>
  <si>
    <t>出来高</t>
  </si>
  <si>
    <t>足種</t>
    <rPh sb="0" eb="2">
      <t>アシシュ</t>
    </rPh>
    <phoneticPr fontId="4"/>
  </si>
  <si>
    <t>市場名称</t>
    <rPh sb="0" eb="4">
      <t>シジョウメイショウ</t>
    </rPh>
    <phoneticPr fontId="4"/>
  </si>
  <si>
    <t>銘柄名称</t>
    <rPh sb="0" eb="4">
      <t>メイガラメイショウ</t>
    </rPh>
    <phoneticPr fontId="4"/>
  </si>
  <si>
    <t>セット注文執行条件が「5：期間指定」の場合、必須　</t>
    <rPh sb="3" eb="5">
      <t>チュウモン</t>
    </rPh>
    <rPh sb="5" eb="7">
      <t>シッコウ</t>
    </rPh>
    <rPh sb="7" eb="9">
      <t>ジョウケン</t>
    </rPh>
    <rPh sb="13" eb="17">
      <t>キカンシテイ</t>
    </rPh>
    <rPh sb="19" eb="21">
      <t>バアイ</t>
    </rPh>
    <rPh sb="22" eb="24">
      <t>ヒッス</t>
    </rPh>
    <phoneticPr fontId="4"/>
  </si>
  <si>
    <t>ー</t>
    <phoneticPr fontId="4"/>
  </si>
  <si>
    <t>セット注文期限</t>
    <rPh sb="3" eb="5">
      <t>チュウモン</t>
    </rPh>
    <rPh sb="5" eb="7">
      <t>キゲン</t>
    </rPh>
    <phoneticPr fontId="1"/>
  </si>
  <si>
    <t>セット注文執行条件</t>
    <rPh sb="3" eb="5">
      <t>チュウモン</t>
    </rPh>
    <rPh sb="5" eb="7">
      <t>シッコウ</t>
    </rPh>
    <rPh sb="7" eb="9">
      <t>ジョウケン</t>
    </rPh>
    <phoneticPr fontId="1"/>
  </si>
  <si>
    <t>セット注文価格を入力。(セット注文区分が「1：セット注文(予約する)」の場合、必須。)</t>
    <rPh sb="3" eb="5">
      <t>チュウモン</t>
    </rPh>
    <rPh sb="5" eb="7">
      <t>カカク</t>
    </rPh>
    <rPh sb="8" eb="10">
      <t>ニュウリョク</t>
    </rPh>
    <rPh sb="29" eb="31">
      <t>ヨヤク</t>
    </rPh>
    <phoneticPr fontId="4"/>
  </si>
  <si>
    <t>セット注文価格</t>
    <rPh sb="3" eb="5">
      <t>チュウモン</t>
    </rPh>
    <rPh sb="5" eb="7">
      <t>カカク</t>
    </rPh>
    <phoneticPr fontId="1"/>
  </si>
  <si>
    <t>0：予約しない、1：予約する　(省略時、予約しない)</t>
    <rPh sb="2" eb="4">
      <t>ヨヤク</t>
    </rPh>
    <rPh sb="10" eb="12">
      <t>ヨヤク</t>
    </rPh>
    <rPh sb="16" eb="19">
      <t>ショウリャクジ</t>
    </rPh>
    <rPh sb="20" eb="22">
      <t>ヨヤク</t>
    </rPh>
    <phoneticPr fontId="4"/>
  </si>
  <si>
    <t>セット注文区分</t>
    <rPh sb="3" eb="5">
      <t>チュウモン</t>
    </rPh>
    <rPh sb="5" eb="7">
      <t>クブン</t>
    </rPh>
    <phoneticPr fontId="1"/>
  </si>
  <si>
    <t>逆指値価格を入力。成行の場合は省略。　(注文区分が「1：逆指値付通常注文」 or 「2：逆指値注文」の場合、必須。)</t>
    <rPh sb="0" eb="3">
      <t>ギャクサシネ</t>
    </rPh>
    <rPh sb="3" eb="5">
      <t>カカク</t>
    </rPh>
    <phoneticPr fontId="4"/>
  </si>
  <si>
    <t>ー</t>
    <phoneticPr fontId="4"/>
  </si>
  <si>
    <t>逆指値価格</t>
    <rPh sb="0" eb="1">
      <t>ギャク</t>
    </rPh>
    <rPh sb="1" eb="3">
      <t>サシネ</t>
    </rPh>
    <rPh sb="3" eb="5">
      <t>カカク</t>
    </rPh>
    <phoneticPr fontId="1"/>
  </si>
  <si>
    <r>
      <rPr>
        <sz val="10"/>
        <rFont val="Meiryo UI"/>
        <family val="3"/>
        <charset val="128"/>
      </rPr>
      <t>０：成行、1：指値</t>
    </r>
    <r>
      <rPr>
        <sz val="10"/>
        <color theme="1"/>
        <rFont val="Meiryo UI"/>
        <family val="3"/>
        <charset val="128"/>
      </rPr>
      <t>(注文区分が「1：逆指値付通常注文」 or 「2：逆指値注文」の場合、必須。)</t>
    </r>
    <phoneticPr fontId="4"/>
  </si>
  <si>
    <t>逆指値価格区分</t>
    <rPh sb="0" eb="1">
      <t>ギャク</t>
    </rPh>
    <rPh sb="1" eb="3">
      <t>サシネ</t>
    </rPh>
    <rPh sb="3" eb="5">
      <t>カカク</t>
    </rPh>
    <rPh sb="5" eb="7">
      <t>クブン</t>
    </rPh>
    <phoneticPr fontId="1"/>
  </si>
  <si>
    <t>1：以上、2：以下　　(注文区分が「1：逆指値付通常注文」 or 「2：逆指値注文」の場合、必須。)</t>
    <phoneticPr fontId="4"/>
  </si>
  <si>
    <t>逆指値条件区分</t>
    <rPh sb="0" eb="1">
      <t>ギャク</t>
    </rPh>
    <rPh sb="1" eb="3">
      <t>サシネ</t>
    </rPh>
    <rPh sb="3" eb="5">
      <t>ジョウケン</t>
    </rPh>
    <rPh sb="5" eb="7">
      <t>クブン</t>
    </rPh>
    <phoneticPr fontId="1"/>
  </si>
  <si>
    <t>逆指値条件価格を入力　(注文区分が「1：逆指値付通常注文」 or 「2：逆指値注文」の場合、必須。)</t>
    <rPh sb="0" eb="1">
      <t>ギャク</t>
    </rPh>
    <rPh sb="1" eb="3">
      <t>サシネ</t>
    </rPh>
    <rPh sb="3" eb="5">
      <t>ジョウケン</t>
    </rPh>
    <rPh sb="5" eb="7">
      <t>カカク</t>
    </rPh>
    <rPh sb="8" eb="10">
      <t>ニュウリョク</t>
    </rPh>
    <rPh sb="24" eb="26">
      <t>ツウジョウ</t>
    </rPh>
    <phoneticPr fontId="4"/>
  </si>
  <si>
    <t>逆指値条件価格</t>
    <rPh sb="0" eb="1">
      <t>ギャク</t>
    </rPh>
    <rPh sb="1" eb="3">
      <t>サシネ</t>
    </rPh>
    <rPh sb="3" eb="5">
      <t>ジョウケン</t>
    </rPh>
    <rPh sb="5" eb="7">
      <t>カカク</t>
    </rPh>
    <phoneticPr fontId="1"/>
  </si>
  <si>
    <t>執行条件が「5：期間指定」の場合、必須。 入力型式：YYYYMMDD</t>
    <rPh sb="0" eb="2">
      <t>シッコウ</t>
    </rPh>
    <rPh sb="2" eb="4">
      <t>ジョウケン</t>
    </rPh>
    <rPh sb="8" eb="12">
      <t>キカンシテイ</t>
    </rPh>
    <rPh sb="14" eb="16">
      <t>バアイ</t>
    </rPh>
    <rPh sb="17" eb="19">
      <t>ヒッス</t>
    </rPh>
    <rPh sb="21" eb="25">
      <t>ニュウリョクケイシキ</t>
    </rPh>
    <phoneticPr fontId="4"/>
  </si>
  <si>
    <t>注文期限</t>
    <rPh sb="0" eb="2">
      <t>チュウモン</t>
    </rPh>
    <rPh sb="2" eb="4">
      <t>キゲン</t>
    </rPh>
    <phoneticPr fontId="1"/>
  </si>
  <si>
    <t>執行条件</t>
    <rPh sb="0" eb="2">
      <t>シッコウ</t>
    </rPh>
    <rPh sb="2" eb="4">
      <t>ジョウケン</t>
    </rPh>
    <phoneticPr fontId="1"/>
  </si>
  <si>
    <t>注文価格を入力。成行の場合は省略。(注文区分が「0：通常注文」 or 「1：逆指値付通常注文」 の場合、必須。)</t>
    <rPh sb="0" eb="4">
      <t>チュウモンカカク</t>
    </rPh>
    <rPh sb="5" eb="7">
      <t>ニュウリョク</t>
    </rPh>
    <rPh sb="8" eb="10">
      <t>ナリユキ</t>
    </rPh>
    <rPh sb="11" eb="13">
      <t>バアイ</t>
    </rPh>
    <rPh sb="14" eb="16">
      <t>ショウリャク</t>
    </rPh>
    <phoneticPr fontId="4"/>
  </si>
  <si>
    <t>注文価格</t>
    <rPh sb="2" eb="4">
      <t>カカク</t>
    </rPh>
    <phoneticPr fontId="1"/>
  </si>
  <si>
    <t>価格区分</t>
    <rPh sb="0" eb="2">
      <t>カカク</t>
    </rPh>
    <rPh sb="2" eb="4">
      <t>クブン</t>
    </rPh>
    <phoneticPr fontId="1"/>
  </si>
  <si>
    <t>注文数量を入力</t>
    <rPh sb="0" eb="4">
      <t>チュウモンスウリョウ</t>
    </rPh>
    <rPh sb="5" eb="7">
      <t>ニュウリョク</t>
    </rPh>
    <phoneticPr fontId="4"/>
  </si>
  <si>
    <t>0：通常注文、1：SOR注文</t>
    <phoneticPr fontId="4"/>
  </si>
  <si>
    <t>SOR区分</t>
    <rPh sb="3" eb="5">
      <t>クブン</t>
    </rPh>
    <phoneticPr fontId="1"/>
  </si>
  <si>
    <t>0：通常注文、1：逆指値付通常注文、2：逆指値注文　(省略時、通常注文)</t>
    <rPh sb="13" eb="15">
      <t>ツウジョウ</t>
    </rPh>
    <rPh sb="27" eb="30">
      <t>ショウリャクジ</t>
    </rPh>
    <rPh sb="31" eb="33">
      <t>ツウジョウ</t>
    </rPh>
    <rPh sb="33" eb="35">
      <t>チュウモン</t>
    </rPh>
    <phoneticPr fontId="4"/>
  </si>
  <si>
    <t>注文区分</t>
    <rPh sb="0" eb="2">
      <t>チュウモン</t>
    </rPh>
    <rPh sb="2" eb="4">
      <t>クブン</t>
    </rPh>
    <phoneticPr fontId="1"/>
  </si>
  <si>
    <t>1：売り、3：買い</t>
    <rPh sb="2" eb="3">
      <t>ウ</t>
    </rPh>
    <rPh sb="7" eb="8">
      <t>カ</t>
    </rPh>
    <phoneticPr fontId="4"/>
  </si>
  <si>
    <t>0：現物、1：信用</t>
    <rPh sb="2" eb="4">
      <t>ゲンブツ</t>
    </rPh>
    <rPh sb="7" eb="9">
      <t>シンヨウ</t>
    </rPh>
    <phoneticPr fontId="4"/>
  </si>
  <si>
    <t>注文（現物/信用）</t>
    <rPh sb="0" eb="2">
      <t>チュウモン</t>
    </rPh>
    <rPh sb="3" eb="5">
      <t>ゲンブツ</t>
    </rPh>
    <rPh sb="6" eb="8">
      <t>シンヨウ</t>
    </rPh>
    <phoneticPr fontId="4"/>
  </si>
  <si>
    <t>入力説明</t>
    <rPh sb="0" eb="2">
      <t>ニュウリョク</t>
    </rPh>
    <rPh sb="2" eb="4">
      <t>セツメイ</t>
    </rPh>
    <phoneticPr fontId="4"/>
  </si>
  <si>
    <t>設定内容</t>
    <rPh sb="0" eb="2">
      <t>セッテイ</t>
    </rPh>
    <rPh sb="2" eb="4">
      <t>ナイヨウ</t>
    </rPh>
    <phoneticPr fontId="4"/>
  </si>
  <si>
    <t>入力欄</t>
    <rPh sb="0" eb="3">
      <t>ニュウリョクラン</t>
    </rPh>
    <phoneticPr fontId="4"/>
  </si>
  <si>
    <t>引数名</t>
    <rPh sb="0" eb="3">
      <t>ヒキスウメイ</t>
    </rPh>
    <phoneticPr fontId="4"/>
  </si>
  <si>
    <t>「銘柄コード.市場」の形式で入力「.市場」は省略可。市況は.T：東証（省略時東証）、.JNX：JNX、.CHJ：Chi-x</t>
    <rPh sb="1" eb="3">
      <t>メイガラ</t>
    </rPh>
    <rPh sb="7" eb="9">
      <t>シジョウ</t>
    </rPh>
    <rPh sb="11" eb="13">
      <t>ケイシキ</t>
    </rPh>
    <rPh sb="14" eb="16">
      <t>ニュウリョク</t>
    </rPh>
    <rPh sb="17" eb="20">
      <t>｡シジョウ</t>
    </rPh>
    <rPh sb="22" eb="25">
      <t>ショウリャクカ</t>
    </rPh>
    <rPh sb="26" eb="28">
      <t>シキョウ</t>
    </rPh>
    <rPh sb="32" eb="34">
      <t>トウショウ</t>
    </rPh>
    <rPh sb="35" eb="38">
      <t>ショウリャクジ</t>
    </rPh>
    <rPh sb="38" eb="40">
      <t>トウショウ</t>
    </rPh>
    <phoneticPr fontId="4"/>
  </si>
  <si>
    <r>
      <t>Excelから注文を一意に識別するための番号（1以上の数値で入力）</t>
    </r>
    <r>
      <rPr>
        <b/>
        <sz val="10"/>
        <color rgb="FFFF0000"/>
        <rFont val="Meiryo UI"/>
        <family val="3"/>
        <charset val="128"/>
      </rPr>
      <t/>
    </r>
    <rPh sb="7" eb="9">
      <t>チュウモン</t>
    </rPh>
    <rPh sb="10" eb="12">
      <t>イチイ</t>
    </rPh>
    <rPh sb="13" eb="15">
      <t>シキベツ</t>
    </rPh>
    <rPh sb="20" eb="22">
      <t>バンゴウ</t>
    </rPh>
    <rPh sb="24" eb="26">
      <t>イジョウ</t>
    </rPh>
    <rPh sb="27" eb="29">
      <t>スウチ</t>
    </rPh>
    <rPh sb="30" eb="32">
      <t>ニュウリョク</t>
    </rPh>
    <phoneticPr fontId="4"/>
  </si>
  <si>
    <t>発注ID</t>
    <rPh sb="0" eb="2">
      <t>ハッチュウ</t>
    </rPh>
    <phoneticPr fontId="1"/>
  </si>
  <si>
    <t>引数説明</t>
    <rPh sb="0" eb="2">
      <t>ヒキスウ</t>
    </rPh>
    <rPh sb="2" eb="4">
      <t>セツメイ</t>
    </rPh>
    <phoneticPr fontId="4"/>
  </si>
  <si>
    <t>設定値</t>
    <rPh sb="0" eb="3">
      <t>セッテイチ</t>
    </rPh>
    <phoneticPr fontId="4"/>
  </si>
  <si>
    <t>注文関数</t>
    <rPh sb="0" eb="4">
      <t>チュウモンカンスウ</t>
    </rPh>
    <phoneticPr fontId="4"/>
  </si>
  <si>
    <t>移動平均2（長期）</t>
    <rPh sb="6" eb="8">
      <t>チョウキ</t>
    </rPh>
    <phoneticPr fontId="4"/>
  </si>
  <si>
    <t>移動平均1(短期)</t>
    <rPh sb="0" eb="4">
      <t>イドウヘイキン</t>
    </rPh>
    <rPh sb="6" eb="8">
      <t>タンキ</t>
    </rPh>
    <phoneticPr fontId="4"/>
  </si>
  <si>
    <t>表示本数</t>
    <rPh sb="0" eb="2">
      <t>ヒョウジ</t>
    </rPh>
    <rPh sb="2" eb="4">
      <t>ホンスウ</t>
    </rPh>
    <phoneticPr fontId="4"/>
  </si>
  <si>
    <t>0:OFF, 1:ON</t>
    <phoneticPr fontId="4"/>
  </si>
  <si>
    <t>移動平均の期間指定</t>
    <rPh sb="0" eb="4">
      <t>イドウヘイキン</t>
    </rPh>
    <rPh sb="5" eb="9">
      <t>キカンシテイ</t>
    </rPh>
    <phoneticPr fontId="4"/>
  </si>
  <si>
    <t>トリガー発注監視</t>
    <rPh sb="4" eb="6">
      <t>ハッチュウ</t>
    </rPh>
    <rPh sb="6" eb="8">
      <t>カンシ</t>
    </rPh>
    <phoneticPr fontId="4"/>
  </si>
  <si>
    <t>＜チャート設定＞</t>
    <rPh sb="5" eb="7">
      <t>セッテイ</t>
    </rPh>
    <phoneticPr fontId="4"/>
  </si>
  <si>
    <t>安値（時刻）</t>
    <rPh sb="0" eb="2">
      <t>ヤスネ</t>
    </rPh>
    <phoneticPr fontId="4"/>
  </si>
  <si>
    <t>出来高</t>
    <rPh sb="0" eb="3">
      <t>デキダカ</t>
    </rPh>
    <phoneticPr fontId="4"/>
  </si>
  <si>
    <t>高値（時刻）</t>
    <rPh sb="0" eb="2">
      <t>タカネ</t>
    </rPh>
    <phoneticPr fontId="4"/>
  </si>
  <si>
    <t>②　価格差</t>
    <rPh sb="2" eb="5">
      <t>カカクサ</t>
    </rPh>
    <phoneticPr fontId="4"/>
  </si>
  <si>
    <t>PER</t>
    <phoneticPr fontId="4"/>
  </si>
  <si>
    <t>前日日付</t>
    <rPh sb="0" eb="2">
      <t>ゼンジツ</t>
    </rPh>
    <rPh sb="2" eb="4">
      <t>ヒヅケ</t>
    </rPh>
    <phoneticPr fontId="4"/>
  </si>
  <si>
    <t>始値（時刻）</t>
    <rPh sb="0" eb="2">
      <t>ハジメネ</t>
    </rPh>
    <phoneticPr fontId="4"/>
  </si>
  <si>
    <t>（ 1：上昇狙い, 2：下降狙い）</t>
    <rPh sb="4" eb="6">
      <t>ジョウショウ</t>
    </rPh>
    <rPh sb="6" eb="7">
      <t>ネラ</t>
    </rPh>
    <rPh sb="12" eb="14">
      <t>カコウ</t>
    </rPh>
    <rPh sb="14" eb="15">
      <t>ネラ</t>
    </rPh>
    <phoneticPr fontId="4"/>
  </si>
  <si>
    <t>①　狙い</t>
    <rPh sb="2" eb="3">
      <t>ネラ</t>
    </rPh>
    <phoneticPr fontId="4"/>
  </si>
  <si>
    <t>銘柄コード</t>
    <rPh sb="0" eb="2">
      <t>メイガラ</t>
    </rPh>
    <phoneticPr fontId="4"/>
  </si>
  <si>
    <t>PBR</t>
    <phoneticPr fontId="4"/>
  </si>
  <si>
    <t>前日終値</t>
    <rPh sb="0" eb="4">
      <t>ゼンジツオワリネ</t>
    </rPh>
    <phoneticPr fontId="4"/>
  </si>
  <si>
    <t>最良買気配値（時刻）</t>
    <phoneticPr fontId="4"/>
  </si>
  <si>
    <t>トリガー条件</t>
    <rPh sb="4" eb="6">
      <t>ジョウケン</t>
    </rPh>
    <phoneticPr fontId="4"/>
  </si>
  <si>
    <t>前日比率</t>
    <rPh sb="0" eb="3">
      <t>ゼンジツヒ</t>
    </rPh>
    <rPh sb="3" eb="4">
      <t>リツ</t>
    </rPh>
    <phoneticPr fontId="4"/>
  </si>
  <si>
    <t>最良売気配値（時刻）</t>
    <phoneticPr fontId="4"/>
  </si>
  <si>
    <t>VWAP</t>
    <phoneticPr fontId="4"/>
  </si>
  <si>
    <t>前日比</t>
    <rPh sb="0" eb="3">
      <t>ゼンジツヒ</t>
    </rPh>
    <phoneticPr fontId="4"/>
  </si>
  <si>
    <t>現在値（時刻）</t>
    <rPh sb="0" eb="3">
      <t>ゲンザイネ</t>
    </rPh>
    <rPh sb="4" eb="6">
      <t>ジコク</t>
    </rPh>
    <phoneticPr fontId="4"/>
  </si>
  <si>
    <t>最新値</t>
    <rPh sb="0" eb="2">
      <t>サイシン</t>
    </rPh>
    <rPh sb="2" eb="3">
      <t>アタイ</t>
    </rPh>
    <phoneticPr fontId="4"/>
  </si>
  <si>
    <t>価格差（1-2）</t>
    <rPh sb="0" eb="3">
      <t>カカクサ</t>
    </rPh>
    <phoneticPr fontId="4"/>
  </si>
  <si>
    <t>移動平均2</t>
    <rPh sb="0" eb="2">
      <t>イドウ</t>
    </rPh>
    <phoneticPr fontId="4"/>
  </si>
  <si>
    <t>移動平均1</t>
    <rPh sb="0" eb="4">
      <t>イドウヘイキン</t>
    </rPh>
    <phoneticPr fontId="4"/>
  </si>
  <si>
    <t>銘柄情報</t>
    <rPh sb="0" eb="4">
      <t>メイガラジョウホウ</t>
    </rPh>
    <phoneticPr fontId="4"/>
  </si>
  <si>
    <t>信用貸借</t>
    <rPh sb="0" eb="2">
      <t>シンヨウ</t>
    </rPh>
    <rPh sb="2" eb="4">
      <t>タイシャク</t>
    </rPh>
    <phoneticPr fontId="4"/>
  </si>
  <si>
    <t>市場</t>
    <rPh sb="0" eb="2">
      <t>シジョウ</t>
    </rPh>
    <phoneticPr fontId="4"/>
  </si>
  <si>
    <t>⑥　トリガー監視開始ボタンをクリック。自動発注を1:ONに変更、発注トリガーが0:待機中となったことを確認。　※条件に合致した場合発注されます</t>
    <rPh sb="6" eb="8">
      <t>カンシ</t>
    </rPh>
    <rPh sb="8" eb="10">
      <t>カイシ</t>
    </rPh>
    <rPh sb="56" eb="58">
      <t>ジョウケン</t>
    </rPh>
    <rPh sb="59" eb="61">
      <t>ガッチ</t>
    </rPh>
    <rPh sb="63" eb="65">
      <t>バアイ</t>
    </rPh>
    <rPh sb="65" eb="67">
      <t>ハッチュウ</t>
    </rPh>
    <phoneticPr fontId="4"/>
  </si>
  <si>
    <t>⑤　トリガー条件を入力。</t>
    <rPh sb="6" eb="8">
      <t>ジョウケン</t>
    </rPh>
    <rPh sb="9" eb="11">
      <t>ニュウリョク</t>
    </rPh>
    <phoneticPr fontId="4"/>
  </si>
  <si>
    <t>信用口座_保証金率(新規建)</t>
    <phoneticPr fontId="4"/>
  </si>
  <si>
    <t>信用口座_信用新規建余力</t>
    <phoneticPr fontId="4"/>
  </si>
  <si>
    <t>信用口座_保証金余裕額</t>
    <phoneticPr fontId="4"/>
  </si>
  <si>
    <t>現物買付可能額</t>
    <phoneticPr fontId="4"/>
  </si>
  <si>
    <t>④　注文種類を現物/信用から選択、注文条件を入力。</t>
    <rPh sb="2" eb="4">
      <t>チュウモン</t>
    </rPh>
    <rPh sb="4" eb="6">
      <t>シュルイ</t>
    </rPh>
    <rPh sb="7" eb="9">
      <t>ゲンブツ</t>
    </rPh>
    <rPh sb="10" eb="12">
      <t>シンヨウ</t>
    </rPh>
    <rPh sb="14" eb="16">
      <t>センタク</t>
    </rPh>
    <rPh sb="17" eb="19">
      <t>チュウモン</t>
    </rPh>
    <rPh sb="19" eb="21">
      <t>ジョウケン</t>
    </rPh>
    <rPh sb="22" eb="24">
      <t>ニュウリョク</t>
    </rPh>
    <phoneticPr fontId="4"/>
  </si>
  <si>
    <t>➂　発注IDセットボタンをクリック。（自動発注監視 0:OFFに変更・発注IDの更新）</t>
    <rPh sb="2" eb="4">
      <t>ハッチュウ</t>
    </rPh>
    <rPh sb="19" eb="21">
      <t>ジドウ</t>
    </rPh>
    <rPh sb="21" eb="23">
      <t>ハッチュウ</t>
    </rPh>
    <rPh sb="23" eb="25">
      <t>カンシ</t>
    </rPh>
    <rPh sb="32" eb="34">
      <t>ヘンコウ</t>
    </rPh>
    <rPh sb="35" eb="37">
      <t>ハッチュウ</t>
    </rPh>
    <rPh sb="40" eb="42">
      <t>コウシン</t>
    </rPh>
    <phoneticPr fontId="4"/>
  </si>
  <si>
    <t>②　＜チャート設定＞足種・移動平均の期間を指定。チャート・移動平均の価格差が表示されます。</t>
    <rPh sb="7" eb="9">
      <t>セッテイ</t>
    </rPh>
    <rPh sb="10" eb="12">
      <t>アシシュ</t>
    </rPh>
    <rPh sb="13" eb="17">
      <t>イドウヘイキン</t>
    </rPh>
    <rPh sb="18" eb="20">
      <t>キカン</t>
    </rPh>
    <rPh sb="21" eb="23">
      <t>シテイ</t>
    </rPh>
    <rPh sb="29" eb="33">
      <t>イドウヘイキン</t>
    </rPh>
    <rPh sb="34" eb="37">
      <t>カカクサ</t>
    </rPh>
    <rPh sb="38" eb="40">
      <t>ヒョウジ</t>
    </rPh>
    <phoneticPr fontId="4"/>
  </si>
  <si>
    <t>①　銘柄コードを指定。銘柄情報が表示されます。</t>
    <rPh sb="2" eb="4">
      <t>メイガラ</t>
    </rPh>
    <rPh sb="8" eb="10">
      <t>シテイ</t>
    </rPh>
    <rPh sb="16" eb="18">
      <t>ヒョウジ</t>
    </rPh>
    <phoneticPr fontId="4"/>
  </si>
  <si>
    <t>移動平均の価格差によるトリガー発注（国内株）</t>
    <rPh sb="0" eb="4">
      <t>イドウヘイキン</t>
    </rPh>
    <rPh sb="5" eb="7">
      <t>カカク</t>
    </rPh>
    <rPh sb="7" eb="8">
      <t>サ</t>
    </rPh>
    <rPh sb="15" eb="17">
      <t>ハッチュウ</t>
    </rPh>
    <rPh sb="18" eb="21">
      <t>コクナイカブ</t>
    </rPh>
    <phoneticPr fontId="4"/>
  </si>
  <si>
    <t>先物OP注文</t>
    <rPh sb="0" eb="1">
      <t>サキ</t>
    </rPh>
    <rPh sb="1" eb="2">
      <t>モノ</t>
    </rPh>
    <rPh sb="4" eb="6">
      <t>チュウモン</t>
    </rPh>
    <phoneticPr fontId="4"/>
  </si>
  <si>
    <t>国内株-信用注文</t>
    <rPh sb="0" eb="3">
      <t>コクナイカブ</t>
    </rPh>
    <rPh sb="4" eb="6">
      <t>シンヨウ</t>
    </rPh>
    <rPh sb="6" eb="8">
      <t>チュウモン</t>
    </rPh>
    <phoneticPr fontId="4"/>
  </si>
  <si>
    <t>国内株-現物注文</t>
    <rPh sb="0" eb="3">
      <t>コクナイカブ</t>
    </rPh>
    <rPh sb="4" eb="8">
      <t>ゲンブツチュウモン</t>
    </rPh>
    <phoneticPr fontId="4"/>
  </si>
  <si>
    <t>・MSII-RSSの注文関数の詳細説明についてはコチラ</t>
    <rPh sb="10" eb="12">
      <t>チュウモン</t>
    </rPh>
    <rPh sb="12" eb="14">
      <t>カンスウ</t>
    </rPh>
    <rPh sb="15" eb="17">
      <t>ショウサイ</t>
    </rPh>
    <rPh sb="17" eb="19">
      <t>セツメイ</t>
    </rPh>
    <phoneticPr fontId="4"/>
  </si>
  <si>
    <t>・MSII-RSSの利用方法についてはコチラ</t>
    <rPh sb="10" eb="14">
      <t>リヨウホウホウ</t>
    </rPh>
    <phoneticPr fontId="4"/>
  </si>
  <si>
    <t>RSSの利用方法について</t>
    <rPh sb="4" eb="8">
      <t>リヨウホウホウ</t>
    </rPh>
    <phoneticPr fontId="4"/>
  </si>
  <si>
    <t>トリガー発注監視に「１」をセットし、トリガーの監視を開始します。</t>
    <rPh sb="23" eb="25">
      <t>カンシ</t>
    </rPh>
    <rPh sb="26" eb="28">
      <t>カイシ</t>
    </rPh>
    <phoneticPr fontId="4"/>
  </si>
  <si>
    <t>発注トリガーに「１」をセットし、注文が発注されます。</t>
    <rPh sb="0" eb="2">
      <t>ハッチュウ</t>
    </rPh>
    <rPh sb="16" eb="18">
      <t>チュウモン</t>
    </rPh>
    <rPh sb="19" eb="21">
      <t>ハッチュウ</t>
    </rPh>
    <phoneticPr fontId="4"/>
  </si>
  <si>
    <t>ボタンクリック時点でユニークな発注IDを注文関数の引数としてセットします。</t>
    <rPh sb="7" eb="8">
      <t>ジ</t>
    </rPh>
    <rPh sb="8" eb="9">
      <t>テン</t>
    </rPh>
    <rPh sb="15" eb="17">
      <t>ハッチュウ</t>
    </rPh>
    <rPh sb="20" eb="24">
      <t>チュウモンカンスウ</t>
    </rPh>
    <rPh sb="25" eb="27">
      <t>ヒキスウ</t>
    </rPh>
    <phoneticPr fontId="4"/>
  </si>
  <si>
    <t>発注トリガー（トリガー発注のサンプルでは、自動発注監視）に「0」をセットし、</t>
    <rPh sb="0" eb="2">
      <t>ハッチュウ</t>
    </rPh>
    <rPh sb="11" eb="13">
      <t>ハッチュウ</t>
    </rPh>
    <rPh sb="21" eb="25">
      <t>ジドウハッチュウ</t>
    </rPh>
    <rPh sb="25" eb="27">
      <t>カンシ</t>
    </rPh>
    <phoneticPr fontId="4"/>
  </si>
  <si>
    <t>注文関数の発注タイミングを管理します。発注トリガーが「0/False」の場合は発注待機、
「0/False」から「1/TRUE」に変化したときに、設定した注文条件で発注が行われます。</t>
    <rPh sb="0" eb="2">
      <t>チュウモン</t>
    </rPh>
    <rPh sb="2" eb="4">
      <t>カンスウ</t>
    </rPh>
    <rPh sb="5" eb="7">
      <t>ハッチュウ</t>
    </rPh>
    <rPh sb="13" eb="15">
      <t>カンリ</t>
    </rPh>
    <rPh sb="19" eb="21">
      <t>ハッチュウ</t>
    </rPh>
    <rPh sb="36" eb="38">
      <t>バアイ</t>
    </rPh>
    <rPh sb="39" eb="43">
      <t>ハッチュウタイキ</t>
    </rPh>
    <rPh sb="65" eb="67">
      <t>ヘンカ</t>
    </rPh>
    <rPh sb="73" eb="75">
      <t>セッテイ</t>
    </rPh>
    <rPh sb="77" eb="79">
      <t>チュウモン</t>
    </rPh>
    <rPh sb="79" eb="81">
      <t>ジョウケン</t>
    </rPh>
    <rPh sb="82" eb="84">
      <t>ハッチュウ</t>
    </rPh>
    <rPh sb="85" eb="86">
      <t>オコナ</t>
    </rPh>
    <phoneticPr fontId="4"/>
  </si>
  <si>
    <t>第2引数</t>
  </si>
  <si>
    <t>同一注文の多重発注を防止するため、ユニークな発注IDを使って注文管理をしています。
1度利用した発注IDは利用できないので、発注IDセットボタンで新しいIDをセットしてください。</t>
    <rPh sb="0" eb="4">
      <t>ドウイツチュウモン</t>
    </rPh>
    <rPh sb="5" eb="9">
      <t>タジュウハッチュウ</t>
    </rPh>
    <rPh sb="10" eb="12">
      <t>ボウシ</t>
    </rPh>
    <rPh sb="22" eb="24">
      <t>ハッチュウ</t>
    </rPh>
    <rPh sb="27" eb="28">
      <t>ツカ</t>
    </rPh>
    <rPh sb="30" eb="32">
      <t>チュウモン</t>
    </rPh>
    <rPh sb="32" eb="34">
      <t>カンリ</t>
    </rPh>
    <rPh sb="43" eb="46">
      <t>ドリヨウ</t>
    </rPh>
    <rPh sb="48" eb="50">
      <t>ハッチュウ</t>
    </rPh>
    <rPh sb="53" eb="55">
      <t>リヨウ</t>
    </rPh>
    <rPh sb="62" eb="64">
      <t>ハッチュウ</t>
    </rPh>
    <rPh sb="73" eb="74">
      <t>アタラ</t>
    </rPh>
    <phoneticPr fontId="4"/>
  </si>
  <si>
    <t>第1引数</t>
    <phoneticPr fontId="4"/>
  </si>
  <si>
    <t>説明</t>
    <rPh sb="0" eb="2">
      <t>セツメイ</t>
    </rPh>
    <phoneticPr fontId="4"/>
  </si>
  <si>
    <t>引数番号</t>
    <rPh sb="0" eb="2">
      <t>ヒキスウ</t>
    </rPh>
    <rPh sb="2" eb="4">
      <t>バンゴウ</t>
    </rPh>
    <phoneticPr fontId="4"/>
  </si>
  <si>
    <t>※現物取引・信用取引・先物OP取引の注文関数共通の引数</t>
    <rPh sb="1" eb="3">
      <t>ゲンブツ</t>
    </rPh>
    <rPh sb="3" eb="5">
      <t>トリヒキ</t>
    </rPh>
    <rPh sb="6" eb="8">
      <t>シンヨウ</t>
    </rPh>
    <rPh sb="8" eb="10">
      <t>トリヒキ</t>
    </rPh>
    <rPh sb="11" eb="13">
      <t>サキモノ</t>
    </rPh>
    <rPh sb="15" eb="17">
      <t>トリヒキ</t>
    </rPh>
    <rPh sb="18" eb="20">
      <t>チュウモン</t>
    </rPh>
    <rPh sb="20" eb="22">
      <t>カンスウ</t>
    </rPh>
    <rPh sb="22" eb="24">
      <t>キョウツウ</t>
    </rPh>
    <rPh sb="25" eb="27">
      <t>ヒキスウ</t>
    </rPh>
    <phoneticPr fontId="4"/>
  </si>
  <si>
    <t>マーケットスピード II のRSSでは注文関数を利用し、注文条件を引数として指定して注文を発注いたします。</t>
    <rPh sb="19" eb="21">
      <t>チュウモン</t>
    </rPh>
    <rPh sb="21" eb="23">
      <t>カンスウ</t>
    </rPh>
    <rPh sb="24" eb="26">
      <t>リヨウ</t>
    </rPh>
    <rPh sb="28" eb="32">
      <t>チュウモンジョウケン</t>
    </rPh>
    <rPh sb="33" eb="35">
      <t>ヒキスウ</t>
    </rPh>
    <rPh sb="38" eb="40">
      <t>シテイ</t>
    </rPh>
    <rPh sb="42" eb="44">
      <t>チュウモン</t>
    </rPh>
    <rPh sb="45" eb="47">
      <t>ハッチュウ</t>
    </rPh>
    <phoneticPr fontId="4"/>
  </si>
  <si>
    <t>サンプルシートの発注方法について</t>
    <rPh sb="8" eb="10">
      <t>ハッチュウ</t>
    </rPh>
    <rPh sb="10" eb="12">
      <t>ホウホウ</t>
    </rPh>
    <phoneticPr fontId="4"/>
  </si>
  <si>
    <t>サンプルシート利用時の注意事項</t>
    <rPh sb="7" eb="10">
      <t>リヨウジ</t>
    </rPh>
    <rPh sb="11" eb="15">
      <t>チュウイジコウ</t>
    </rPh>
    <phoneticPr fontId="4"/>
  </si>
  <si>
    <t>3.</t>
  </si>
  <si>
    <t>2.</t>
  </si>
  <si>
    <t>1.</t>
    <phoneticPr fontId="4"/>
  </si>
  <si>
    <t>目次</t>
    <rPh sb="0" eb="2">
      <t>モクジ</t>
    </rPh>
    <phoneticPr fontId="4"/>
  </si>
  <si>
    <t>一括発注・トリガー発注サンプル</t>
    <phoneticPr fontId="4"/>
  </si>
  <si>
    <t>執行数量条件</t>
    <rPh sb="0" eb="2">
      <t>シッコウ</t>
    </rPh>
    <rPh sb="2" eb="4">
      <t>スウリョウ</t>
    </rPh>
    <rPh sb="4" eb="6">
      <t>ジョウケン</t>
    </rPh>
    <phoneticPr fontId="22"/>
  </si>
  <si>
    <t>執行時間条件</t>
    <rPh sb="0" eb="2">
      <t>シッコウ</t>
    </rPh>
    <rPh sb="2" eb="4">
      <t>ジカン</t>
    </rPh>
    <rPh sb="4" eb="6">
      <t>ジョウケン</t>
    </rPh>
    <phoneticPr fontId="22"/>
  </si>
  <si>
    <t>複数の現物売買/信用新規の注文を1度に発注することができるサンプルシート。</t>
    <rPh sb="0" eb="2">
      <t>フクスウ</t>
    </rPh>
    <rPh sb="17" eb="18">
      <t>ド</t>
    </rPh>
    <rPh sb="19" eb="21">
      <t>ハッチュウ</t>
    </rPh>
    <phoneticPr fontId="4"/>
  </si>
  <si>
    <t>余力・保証金率を表示。また、注文条件を入力すると概算約定代金を表示。</t>
    <rPh sb="14" eb="18">
      <t>チュウモンジョウケン</t>
    </rPh>
    <rPh sb="19" eb="21">
      <t>ニュウリョク</t>
    </rPh>
    <rPh sb="24" eb="30">
      <t>ガイサンヤクジョウダイキン</t>
    </rPh>
    <rPh sb="31" eb="33">
      <t>ヒョウジ</t>
    </rPh>
    <phoneticPr fontId="4"/>
  </si>
  <si>
    <t>先物OPの余力・保証金率を表示。また、注文条件を入力すると概算約定代金を表示。</t>
    <rPh sb="19" eb="23">
      <t>チュウモンジョウケン</t>
    </rPh>
    <rPh sb="24" eb="26">
      <t>ニュウリョク</t>
    </rPh>
    <rPh sb="29" eb="35">
      <t>ガイサンヤクジョウダイキン</t>
    </rPh>
    <rPh sb="36" eb="38">
      <t>ヒョウジ</t>
    </rPh>
    <phoneticPr fontId="4"/>
  </si>
  <si>
    <t>複数の先物OP・商品先物の新規注文を1度に発注することができるサンプルシート。</t>
    <rPh sb="0" eb="2">
      <t>フクスウ</t>
    </rPh>
    <rPh sb="13" eb="15">
      <t>シンキ</t>
    </rPh>
    <rPh sb="19" eb="20">
      <t>ド</t>
    </rPh>
    <rPh sb="21" eb="23">
      <t>ハッチュウ</t>
    </rPh>
    <phoneticPr fontId="4"/>
  </si>
  <si>
    <t>指定した銘柄コードの基本情報・チャート情報、また余力・保証金率を表示。</t>
  </si>
  <si>
    <t>時刻</t>
    <rPh sb="0" eb="2">
      <t>ジコク</t>
    </rPh>
    <phoneticPr fontId="4"/>
  </si>
  <si>
    <t>トリガー条件を設定することで、移動平均線の価格差による現物売買/信用新規のトリガー発注をすることができるサンプルシート。</t>
    <rPh sb="4" eb="6">
      <t>ジョウケン</t>
    </rPh>
    <rPh sb="7" eb="9">
      <t>セッテイ</t>
    </rPh>
    <rPh sb="27" eb="31">
      <t>ゲンブツバイバイ</t>
    </rPh>
    <rPh sb="32" eb="36">
      <t>シンヨウシンキ</t>
    </rPh>
    <phoneticPr fontId="4"/>
  </si>
  <si>
    <t>・</t>
    <phoneticPr fontId="4"/>
  </si>
  <si>
    <t>各サンプルシートにある『発注ボタン』『発注IDセットボタン』や関数については、行の追加・削除など、</t>
  </si>
  <si>
    <t>セルの参照位置が変わるような操作をすると、利用できなくなりますのでご了承ください。</t>
  </si>
  <si>
    <t>本サンプルシート利用時は、他のExcelファイルからのRSS関数による発注をした場合、</t>
    <rPh sb="40" eb="42">
      <t>バアイ</t>
    </rPh>
    <phoneticPr fontId="4"/>
  </si>
  <si>
    <t>発注IDが重複すると発注されないのでご了承ください。</t>
    <rPh sb="5" eb="7">
      <t>チョウフク</t>
    </rPh>
    <rPh sb="10" eb="12">
      <t>ハッチュウ</t>
    </rPh>
    <rPh sb="19" eb="21">
      <t>リョウショウ</t>
    </rPh>
    <phoneticPr fontId="4"/>
  </si>
  <si>
    <t>発注トリガーが「1/TRUE」の状態で発注機能を『発注可』に変更した際、注文は発注されます。</t>
    <rPh sb="36" eb="38">
      <t>チュウモン</t>
    </rPh>
    <rPh sb="39" eb="41">
      <t>ハッチュウ</t>
    </rPh>
    <phoneticPr fontId="4"/>
  </si>
  <si>
    <t>発注機能利用時は、発注トリガーが「0/False」となっていることを確認してご利用ください。</t>
    <rPh sb="0" eb="2">
      <t>ハッチュウ</t>
    </rPh>
    <rPh sb="2" eb="4">
      <t>キノウ</t>
    </rPh>
    <rPh sb="4" eb="7">
      <t>リヨウジ</t>
    </rPh>
    <phoneticPr fontId="4"/>
  </si>
  <si>
    <t>・</t>
    <phoneticPr fontId="4"/>
  </si>
  <si>
    <t>・</t>
    <phoneticPr fontId="4"/>
  </si>
  <si>
    <t>本サンプルシートでの注文条件入力欄は、以下のように準備されています。</t>
    <rPh sb="0" eb="1">
      <t>ホン</t>
    </rPh>
    <rPh sb="10" eb="14">
      <t>チュウモンジョウケン</t>
    </rPh>
    <rPh sb="14" eb="16">
      <t>ニュウリョク</t>
    </rPh>
    <rPh sb="16" eb="17">
      <t>ラン</t>
    </rPh>
    <rPh sb="19" eb="21">
      <t>イカ</t>
    </rPh>
    <rPh sb="25" eb="27">
      <t>ジュンビ</t>
    </rPh>
    <phoneticPr fontId="4"/>
  </si>
  <si>
    <t>注文条件入力セル ： この色のセルに注文条件を入力</t>
    <rPh sb="0" eb="2">
      <t>チュウモン</t>
    </rPh>
    <rPh sb="2" eb="4">
      <t>ジョウケン</t>
    </rPh>
    <rPh sb="4" eb="6">
      <t>ニュウリョク</t>
    </rPh>
    <rPh sb="13" eb="14">
      <t>イロ</t>
    </rPh>
    <rPh sb="18" eb="20">
      <t>チュウモン</t>
    </rPh>
    <rPh sb="20" eb="22">
      <t>ジョウケン</t>
    </rPh>
    <rPh sb="23" eb="25">
      <t>ニュウリョク</t>
    </rPh>
    <phoneticPr fontId="4"/>
  </si>
  <si>
    <t>入力不要セル 　　　： この色のセルは入力が必要無いセルなので入力があった場合は削除してください</t>
    <rPh sb="0" eb="2">
      <t>ニュウリョク</t>
    </rPh>
    <rPh sb="2" eb="4">
      <t>フヨウ</t>
    </rPh>
    <rPh sb="14" eb="15">
      <t>イロ</t>
    </rPh>
    <rPh sb="19" eb="21">
      <t>ニュウリョク</t>
    </rPh>
    <rPh sb="22" eb="25">
      <t>ヒツヨウナ</t>
    </rPh>
    <rPh sb="31" eb="33">
      <t>ニュウリョク</t>
    </rPh>
    <rPh sb="37" eb="39">
      <t>バアイ</t>
    </rPh>
    <rPh sb="40" eb="42">
      <t>サクジョ</t>
    </rPh>
    <phoneticPr fontId="4"/>
  </si>
  <si>
    <t>本サンプルシートでは、以下の引数についてはボタンを用意し簡易的に設定可能としています。</t>
    <rPh sb="0" eb="1">
      <t>ホン</t>
    </rPh>
    <rPh sb="11" eb="13">
      <t>イカ</t>
    </rPh>
    <rPh sb="14" eb="16">
      <t>ヒキスウ</t>
    </rPh>
    <rPh sb="25" eb="27">
      <t>ヨウイ</t>
    </rPh>
    <rPh sb="28" eb="31">
      <t>カンイテキ</t>
    </rPh>
    <rPh sb="32" eb="34">
      <t>セッテイ</t>
    </rPh>
    <rPh sb="34" eb="36">
      <t>カノウ</t>
    </rPh>
    <phoneticPr fontId="4"/>
  </si>
  <si>
    <t>以下の引数と注文条件がすべて入力された状態で、発注ボタンクリックやトリガー条件に到達した際に、設定された条件で発注ができます。</t>
    <rPh sb="0" eb="2">
      <t>イカ</t>
    </rPh>
    <rPh sb="3" eb="5">
      <t>ヒキスウ</t>
    </rPh>
    <rPh sb="6" eb="10">
      <t>チュウモンジョウケン</t>
    </rPh>
    <rPh sb="14" eb="16">
      <t>ニュウリョク</t>
    </rPh>
    <rPh sb="19" eb="21">
      <t>ジョウタイ</t>
    </rPh>
    <rPh sb="47" eb="49">
      <t>セッテイ</t>
    </rPh>
    <rPh sb="52" eb="54">
      <t>ジョウケン</t>
    </rPh>
    <phoneticPr fontId="4"/>
  </si>
  <si>
    <t>!! 注意　</t>
    <rPh sb="3" eb="5">
      <t>チュウイ</t>
    </rPh>
    <phoneticPr fontId="4"/>
  </si>
  <si>
    <t>「発注IDセットボタン」を使用する場合、このシートの更新や削除を行わないでください。</t>
    <rPh sb="1" eb="3">
      <t>ハッチュウ</t>
    </rPh>
    <rPh sb="13" eb="15">
      <t>シヨウ</t>
    </rPh>
    <rPh sb="17" eb="19">
      <t>バアイ</t>
    </rPh>
    <rPh sb="26" eb="28">
      <t>コウシン</t>
    </rPh>
    <rPh sb="29" eb="31">
      <t>サクジョ</t>
    </rPh>
    <rPh sb="32" eb="33">
      <t>オコナ</t>
    </rPh>
    <phoneticPr fontId="4"/>
  </si>
  <si>
    <t>このシートが更新されたり削除されたりすると「発注IDセットボタン」が動作しなくなります。</t>
    <rPh sb="6" eb="8">
      <t>コウシン</t>
    </rPh>
    <rPh sb="12" eb="14">
      <t>サクジョ</t>
    </rPh>
    <phoneticPr fontId="4"/>
  </si>
  <si>
    <t>発注ID</t>
  </si>
  <si>
    <t>関数名</t>
  </si>
  <si>
    <t>発注日</t>
  </si>
  <si>
    <t>発注時刻</t>
  </si>
  <si>
    <t>注文番号</t>
  </si>
  <si>
    <t>発注結果</t>
  </si>
  <si>
    <t>1：本日中　2：今週中　3：寄付　4：引け　5：期間指定　6：大引不成   7：不成　(セット注文区分が「1：セット注文(予約する)」の場合、必須。)</t>
    <phoneticPr fontId="4"/>
  </si>
  <si>
    <t>1：本日中　2：今週中　3：寄付　4：引け　5：期間指定　6：大引不成   7：不成</t>
    <phoneticPr fontId="4"/>
  </si>
  <si>
    <t>銘柄名</t>
    <rPh sb="0" eb="3">
      <t>メイガラメイ</t>
    </rPh>
    <phoneticPr fontId="12"/>
  </si>
  <si>
    <t>日付</t>
    <rPh sb="0" eb="2">
      <t>ヒヅケ</t>
    </rPh>
    <phoneticPr fontId="4"/>
  </si>
  <si>
    <t>証拠金維持率</t>
    <phoneticPr fontId="4"/>
  </si>
  <si>
    <t>受入証拠金</t>
    <phoneticPr fontId="4"/>
  </si>
  <si>
    <t>最低証拠金所要額</t>
    <phoneticPr fontId="4"/>
  </si>
  <si>
    <t>当社証拠金所要額</t>
    <phoneticPr fontId="4"/>
  </si>
  <si>
    <t>追証余裕額</t>
    <phoneticPr fontId="4"/>
  </si>
  <si>
    <t>純資産</t>
    <phoneticPr fontId="4"/>
  </si>
  <si>
    <t>オンラインヘルプ　TOP</t>
    <phoneticPr fontId="4"/>
  </si>
  <si>
    <t>0：成行、 1：指値 (注文区分が「0：通常注文」 or 「1：逆指値付通常注文」 の場合、必須。)</t>
    <phoneticPr fontId="4"/>
  </si>
  <si>
    <t>0：特定、 1：一般、 2：NISA</t>
    <phoneticPr fontId="4"/>
  </si>
  <si>
    <t>使用済最大発注ID</t>
    <phoneticPr fontId="4"/>
  </si>
  <si>
    <t>--------</t>
    <phoneticPr fontId="4"/>
  </si>
  <si>
    <t>--------</t>
    <phoneticPr fontId="4"/>
  </si>
  <si>
    <t>売買代金(千円)</t>
    <rPh sb="0" eb="4">
      <t>バイバイダイキン</t>
    </rPh>
    <rPh sb="5" eb="7">
      <t>センエン</t>
    </rPh>
    <phoneticPr fontId="4"/>
  </si>
  <si>
    <t>時価総額(百万円)</t>
    <rPh sb="0" eb="4">
      <t>ジカソウガク</t>
    </rPh>
    <rPh sb="5" eb="7">
      <t>ヒャクマン</t>
    </rPh>
    <rPh sb="7" eb="8">
      <t>エン</t>
    </rPh>
    <phoneticPr fontId="4"/>
  </si>
  <si>
    <t>--------</t>
  </si>
  <si>
    <t>12:40</t>
  </si>
  <si>
    <t>2021/12/02</t>
  </si>
  <si>
    <t>東証</t>
  </si>
  <si>
    <t>13:50</t>
  </si>
  <si>
    <t>14:00</t>
  </si>
  <si>
    <t>14:10</t>
  </si>
  <si>
    <t>14:20</t>
  </si>
  <si>
    <t>14:30</t>
  </si>
  <si>
    <t>14:40</t>
  </si>
  <si>
    <t>14:50</t>
  </si>
  <si>
    <t>15:00</t>
  </si>
  <si>
    <t>2021/11/30</t>
  </si>
  <si>
    <t>09:00</t>
  </si>
  <si>
    <t>09:10</t>
  </si>
  <si>
    <t>09:20</t>
  </si>
  <si>
    <t>09:30</t>
  </si>
  <si>
    <t>09:40</t>
  </si>
  <si>
    <t>09:50</t>
  </si>
  <si>
    <t>10:00</t>
  </si>
  <si>
    <t>10:10</t>
  </si>
  <si>
    <t>10:20</t>
  </si>
  <si>
    <t>10:30</t>
  </si>
  <si>
    <t>10:40</t>
  </si>
  <si>
    <t>10:50</t>
  </si>
  <si>
    <t>11:00</t>
  </si>
  <si>
    <t>11:10</t>
  </si>
  <si>
    <t>11:20</t>
  </si>
  <si>
    <t>11:30</t>
  </si>
  <si>
    <t>12:30</t>
  </si>
  <si>
    <t>12:50</t>
  </si>
  <si>
    <t>13:00</t>
  </si>
  <si>
    <t>13:10</t>
  </si>
  <si>
    <t>13:20</t>
  </si>
  <si>
    <t>13:30</t>
  </si>
  <si>
    <t>13:40</t>
  </si>
  <si>
    <t>2021/12/01</t>
  </si>
  <si>
    <t>楽天グループ</t>
  </si>
  <si>
    <t>現在値</t>
    <rPh sb="0" eb="2">
      <t>ゲンザイ</t>
    </rPh>
    <rPh sb="2" eb="3">
      <t>アタイ</t>
    </rPh>
    <phoneticPr fontId="4"/>
  </si>
  <si>
    <t>前回値</t>
    <rPh sb="0" eb="2">
      <t>ゼンカイ</t>
    </rPh>
    <rPh sb="2" eb="3">
      <t>ネ</t>
    </rPh>
    <phoneticPr fontId="4"/>
  </si>
  <si>
    <t>（1 : 上 ,2 : 下）</t>
    <rPh sb="5" eb="6">
      <t>ウエ</t>
    </rPh>
    <rPh sb="12" eb="13">
      <t>シタ</t>
    </rPh>
    <phoneticPr fontId="4"/>
  </si>
  <si>
    <t>銘柄コード</t>
    <phoneticPr fontId="4"/>
  </si>
  <si>
    <t>銘柄名称</t>
    <phoneticPr fontId="4"/>
  </si>
  <si>
    <t>口座区分</t>
    <phoneticPr fontId="4"/>
  </si>
  <si>
    <t>建市場</t>
    <phoneticPr fontId="4"/>
  </si>
  <si>
    <t>信用区分</t>
    <phoneticPr fontId="4"/>
  </si>
  <si>
    <t>弁済期限</t>
    <phoneticPr fontId="4"/>
  </si>
  <si>
    <t>売買</t>
    <phoneticPr fontId="4"/>
  </si>
  <si>
    <t>建玉数量</t>
    <phoneticPr fontId="4"/>
  </si>
  <si>
    <t>発注数量</t>
    <phoneticPr fontId="4"/>
  </si>
  <si>
    <t>建値</t>
    <phoneticPr fontId="4"/>
  </si>
  <si>
    <t>建日</t>
    <phoneticPr fontId="4"/>
  </si>
  <si>
    <t>最終返済日</t>
    <phoneticPr fontId="4"/>
  </si>
  <si>
    <t>時価</t>
    <phoneticPr fontId="4"/>
  </si>
  <si>
    <t>前日比</t>
    <phoneticPr fontId="4"/>
  </si>
  <si>
    <t>前日比率</t>
    <phoneticPr fontId="4"/>
  </si>
  <si>
    <t>時価評価額</t>
    <phoneticPr fontId="4"/>
  </si>
  <si>
    <t>評価損益額</t>
    <phoneticPr fontId="4"/>
  </si>
  <si>
    <t>評価損益率</t>
    <phoneticPr fontId="4"/>
  </si>
  <si>
    <t>保証金率</t>
    <phoneticPr fontId="4"/>
  </si>
  <si>
    <t>現金保証金率</t>
    <phoneticPr fontId="4"/>
  </si>
  <si>
    <t>建日</t>
    <rPh sb="0" eb="1">
      <t>タ</t>
    </rPh>
    <rPh sb="1" eb="2">
      <t>ビ</t>
    </rPh>
    <phoneticPr fontId="4"/>
  </si>
  <si>
    <t>建単価</t>
    <rPh sb="0" eb="1">
      <t>タツル</t>
    </rPh>
    <rPh sb="1" eb="3">
      <t>タンカ</t>
    </rPh>
    <phoneticPr fontId="4"/>
  </si>
  <si>
    <t>建市場</t>
    <rPh sb="0" eb="1">
      <t>タ</t>
    </rPh>
    <rPh sb="1" eb="3">
      <t>イチバ</t>
    </rPh>
    <phoneticPr fontId="4"/>
  </si>
  <si>
    <t>直近の高値</t>
    <rPh sb="0" eb="2">
      <t>チョッキン</t>
    </rPh>
    <rPh sb="3" eb="5">
      <t>タカネ</t>
    </rPh>
    <phoneticPr fontId="4"/>
  </si>
  <si>
    <t>直近の安値</t>
    <rPh sb="0" eb="2">
      <t>チョッキン</t>
    </rPh>
    <rPh sb="3" eb="5">
      <t>ヤスネ</t>
    </rPh>
    <phoneticPr fontId="4"/>
  </si>
  <si>
    <t>5M</t>
    <phoneticPr fontId="4"/>
  </si>
  <si>
    <t>建玉があれば返済可能</t>
    <rPh sb="0" eb="2">
      <t>タテギョク</t>
    </rPh>
    <rPh sb="6" eb="8">
      <t>ヘンサイ</t>
    </rPh>
    <rPh sb="8" eb="10">
      <t>カノウ</t>
    </rPh>
    <phoneticPr fontId="4"/>
  </si>
  <si>
    <t>ストップロス</t>
    <phoneticPr fontId="4"/>
  </si>
  <si>
    <t>トレーリングストップ</t>
    <phoneticPr fontId="4"/>
  </si>
  <si>
    <t>注文番号</t>
    <rPh sb="0" eb="4">
      <t>チュウモンバンゴウ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</si>
</sst>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font>
      <sz val="11"/>
      <color theme="1"/>
      <name val="游ゴシック"/>
      <family val="2"/>
      <charset val="128"/>
      <scheme val="minor"/>
    </font>
    <font>
      <sz val="11"/>
      <color theme="1"/>
      <name val="游ゴシック"/>
      <family val="2"/>
      <charset val="128"/>
      <scheme val="minor"/>
    </font>
    <font>
      <sz val="11"/>
      <color theme="1"/>
      <name val="Meiryo UI"/>
      <family val="2"/>
      <charset val="128"/>
    </font>
    <font>
      <sz val="10"/>
      <color theme="1"/>
      <name val="Meiryo UI"/>
      <family val="3"/>
      <charset val="128"/>
    </font>
    <font>
      <sz val="6"/>
      <name val="游ゴシック"/>
      <family val="2"/>
      <charset val="128"/>
      <scheme val="minor"/>
    </font>
    <font>
      <b/>
      <sz val="10"/>
      <color theme="1"/>
      <name val="Meiryo UI"/>
      <family val="3"/>
      <charset val="128"/>
    </font>
    <font>
      <b/>
      <sz val="12"/>
      <color theme="1"/>
      <name val="Meiryo UI"/>
      <family val="3"/>
      <charset val="128"/>
    </font>
    <font>
      <sz val="9"/>
      <color indexed="81"/>
      <name val="ＭＳ Ｐゴシック"/>
      <family val="3"/>
      <charset val="128"/>
    </font>
    <font>
      <sz val="11"/>
      <color theme="1"/>
      <name val="Meiryo UI"/>
      <family val="3"/>
      <charset val="128"/>
    </font>
    <font>
      <sz val="13"/>
      <color theme="1"/>
      <name val="Meiryo UI"/>
      <family val="3"/>
      <charset val="128"/>
    </font>
    <font>
      <b/>
      <sz val="16"/>
      <color theme="1"/>
      <name val="Meiryo UI"/>
      <family val="3"/>
      <charset val="128"/>
    </font>
    <font>
      <sz val="9"/>
      <color indexed="81"/>
      <name val="Meiryo UI"/>
      <family val="3"/>
      <charset val="128"/>
    </font>
    <font>
      <sz val="6"/>
      <name val="Meiryo UI"/>
      <family val="2"/>
      <charset val="128"/>
    </font>
    <font>
      <sz val="10"/>
      <name val="Meiryo UI"/>
      <family val="3"/>
      <charset val="128"/>
    </font>
    <font>
      <b/>
      <sz val="10"/>
      <color rgb="FFFF0000"/>
      <name val="Meiryo UI"/>
      <family val="3"/>
      <charset val="128"/>
    </font>
    <font>
      <b/>
      <sz val="11"/>
      <color theme="1"/>
      <name val="Meiryo UI"/>
      <family val="3"/>
      <charset val="128"/>
    </font>
    <font>
      <b/>
      <sz val="11"/>
      <color indexed="81"/>
      <name val="MS P ゴシック"/>
      <family val="3"/>
      <charset val="128"/>
    </font>
    <font>
      <sz val="12"/>
      <color theme="1"/>
      <name val="Meiryo UI"/>
      <family val="3"/>
      <charset val="128"/>
    </font>
    <font>
      <u/>
      <sz val="9"/>
      <color indexed="12"/>
      <name val="ＭＳ Ｐゴシック"/>
      <family val="3"/>
      <charset val="128"/>
    </font>
    <font>
      <u/>
      <sz val="12"/>
      <color indexed="12"/>
      <name val="Meiryo UI"/>
      <family val="3"/>
      <charset val="128"/>
    </font>
    <font>
      <u/>
      <sz val="12"/>
      <color theme="8"/>
      <name val="Meiryo UI"/>
      <family val="3"/>
      <charset val="128"/>
    </font>
    <font>
      <b/>
      <sz val="14"/>
      <color theme="1"/>
      <name val="Meiryo UI"/>
      <family val="3"/>
      <charset val="128"/>
    </font>
    <font>
      <sz val="18"/>
      <color theme="3"/>
      <name val="游ゴシック Light"/>
      <family val="2"/>
      <charset val="128"/>
      <scheme val="major"/>
    </font>
    <font>
      <sz val="11"/>
      <color rgb="FFFF0000"/>
      <name val="游ゴシック"/>
      <family val="2"/>
      <charset val="128"/>
      <scheme val="minor"/>
    </font>
    <font>
      <sz val="11"/>
      <color rgb="FFFF0000"/>
      <name val="游ゴシック"/>
      <family val="3"/>
      <charset val="128"/>
      <scheme val="minor"/>
    </font>
    <font>
      <sz val="9"/>
      <color theme="1"/>
      <name val="Meiryo UI"/>
      <family val="3"/>
      <charset val="128"/>
    </font>
    <font>
      <sz val="11"/>
      <color rgb="FFFF9966"/>
      <name val="Meiryo UI"/>
      <family val="3"/>
      <charset val="128"/>
    </font>
    <font>
      <sz val="11"/>
      <color theme="4" tint="-0.249977111117893"/>
      <name val="Meiryo UI"/>
      <family val="3"/>
      <charset val="128"/>
    </font>
    <font>
      <sz val="11"/>
      <name val="游ゴシック"/>
      <family val="3"/>
      <charset val="128"/>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bgColor indexed="64"/>
      </patternFill>
    </fill>
    <fill>
      <patternFill patternType="solid">
        <fgColor theme="8" tint="0.59999389629810485"/>
        <bgColor indexed="64"/>
      </patternFill>
    </fill>
    <fill>
      <patternFill patternType="solid">
        <fgColor rgb="FFFFFF00"/>
        <bgColor indexed="64"/>
      </patternFill>
    </fill>
  </fills>
  <borders count="16">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medium">
        <color rgb="FFC00000"/>
      </left>
      <right style="medium">
        <color rgb="FFC00000"/>
      </right>
      <top style="medium">
        <color rgb="FFC00000"/>
      </top>
      <bottom style="medium">
        <color rgb="FFC00000"/>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s>
  <cellStyleXfs count="5">
    <xf numFmtId="0" fontId="0" fillId="0" borderId="0">
      <alignment vertical="center"/>
    </xf>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2" fillId="0" borderId="0">
      <alignment vertical="center"/>
    </xf>
    <xf numFmtId="0" fontId="18" fillId="0" borderId="0" applyNumberFormat="0" applyFill="0" applyBorder="0" applyAlignment="0" applyProtection="0">
      <alignment vertical="top"/>
      <protection locked="0"/>
    </xf>
  </cellStyleXfs>
  <cellXfs count="129">
    <xf numFmtId="0" fontId="0" fillId="0" borderId="0" xfId="0">
      <alignment vertical="center"/>
    </xf>
    <xf numFmtId="0" fontId="3" fillId="0" borderId="0" xfId="3" applyFont="1">
      <alignment vertical="center"/>
    </xf>
    <xf numFmtId="0" fontId="3" fillId="0" borderId="2" xfId="3" applyFont="1" applyBorder="1">
      <alignment vertical="center"/>
    </xf>
    <xf numFmtId="0" fontId="3" fillId="0" borderId="3" xfId="3" applyFont="1" applyBorder="1" applyAlignment="1">
      <alignment horizontal="left" vertical="center"/>
    </xf>
    <xf numFmtId="0" fontId="3" fillId="0" borderId="4" xfId="3" applyFont="1" applyBorder="1" applyAlignment="1">
      <alignment horizontal="left" vertical="center"/>
    </xf>
    <xf numFmtId="0" fontId="5" fillId="0" borderId="5" xfId="0" applyFont="1" applyBorder="1">
      <alignment vertical="center"/>
    </xf>
    <xf numFmtId="0" fontId="3" fillId="0" borderId="2" xfId="0" quotePrefix="1" applyFont="1" applyBorder="1">
      <alignment vertical="center"/>
    </xf>
    <xf numFmtId="0" fontId="3" fillId="0" borderId="6" xfId="3" applyFont="1" applyBorder="1" applyAlignment="1">
      <alignment horizontal="left" vertical="center"/>
    </xf>
    <xf numFmtId="0" fontId="3" fillId="0" borderId="7" xfId="3" applyFont="1" applyBorder="1" applyAlignment="1">
      <alignment horizontal="left" vertical="center"/>
    </xf>
    <xf numFmtId="0" fontId="3" fillId="0" borderId="3" xfId="3" applyFont="1" applyBorder="1">
      <alignment vertical="center"/>
    </xf>
    <xf numFmtId="0" fontId="3" fillId="0" borderId="4" xfId="3" applyFont="1" applyBorder="1">
      <alignment vertical="center"/>
    </xf>
    <xf numFmtId="0" fontId="3" fillId="0" borderId="2" xfId="3" applyFont="1" applyBorder="1" applyAlignment="1">
      <alignment vertical="center" shrinkToFit="1"/>
    </xf>
    <xf numFmtId="0" fontId="6" fillId="0" borderId="0" xfId="3" applyFont="1">
      <alignment vertical="center"/>
    </xf>
    <xf numFmtId="0" fontId="3" fillId="2" borderId="2" xfId="3" applyFont="1" applyFill="1" applyBorder="1">
      <alignment vertical="center"/>
    </xf>
    <xf numFmtId="0" fontId="3" fillId="3" borderId="2" xfId="3" applyFont="1" applyFill="1" applyBorder="1">
      <alignment vertical="center"/>
    </xf>
    <xf numFmtId="0" fontId="3" fillId="0" borderId="0" xfId="3" applyFont="1" applyAlignment="1">
      <alignment vertical="center" wrapText="1"/>
    </xf>
    <xf numFmtId="0" fontId="3" fillId="4" borderId="2" xfId="3" applyFont="1" applyFill="1" applyBorder="1" applyAlignment="1">
      <alignment vertical="center" shrinkToFit="1"/>
    </xf>
    <xf numFmtId="0" fontId="3" fillId="5" borderId="2" xfId="3" applyFont="1" applyFill="1" applyBorder="1" applyAlignment="1">
      <alignment vertical="center" shrinkToFit="1"/>
    </xf>
    <xf numFmtId="0" fontId="8" fillId="0" borderId="0" xfId="0" quotePrefix="1" applyFont="1">
      <alignment vertical="center"/>
    </xf>
    <xf numFmtId="38" fontId="8" fillId="0" borderId="2" xfId="1" applyFont="1" applyBorder="1">
      <alignment vertical="center"/>
    </xf>
    <xf numFmtId="0" fontId="3" fillId="0" borderId="2" xfId="0" applyFont="1" applyBorder="1" applyAlignment="1">
      <alignment horizontal="center" vertical="center"/>
    </xf>
    <xf numFmtId="0" fontId="3" fillId="6" borderId="5" xfId="0" applyFont="1" applyFill="1" applyBorder="1" applyAlignment="1">
      <alignment horizontal="center" vertical="center"/>
    </xf>
    <xf numFmtId="0" fontId="8" fillId="0" borderId="2" xfId="0" applyFont="1" applyBorder="1">
      <alignment vertical="center"/>
    </xf>
    <xf numFmtId="0" fontId="8" fillId="0" borderId="0" xfId="0" applyFont="1">
      <alignment vertical="center"/>
    </xf>
    <xf numFmtId="0" fontId="9" fillId="0" borderId="0" xfId="0" applyFont="1">
      <alignment vertical="center"/>
    </xf>
    <xf numFmtId="0" fontId="10" fillId="0" borderId="0" xfId="3" applyFont="1">
      <alignment vertical="center"/>
    </xf>
    <xf numFmtId="0" fontId="3" fillId="0" borderId="8" xfId="3" applyFont="1" applyBorder="1" applyAlignment="1">
      <alignment horizontal="left" vertical="center"/>
    </xf>
    <xf numFmtId="0" fontId="3" fillId="0" borderId="0" xfId="0" applyFont="1">
      <alignment vertical="center"/>
    </xf>
    <xf numFmtId="0" fontId="5" fillId="0" borderId="0" xfId="3" applyFont="1">
      <alignment vertical="center"/>
    </xf>
    <xf numFmtId="14" fontId="8" fillId="0" borderId="2" xfId="0" quotePrefix="1" applyNumberFormat="1" applyFont="1" applyBorder="1">
      <alignment vertical="center"/>
    </xf>
    <xf numFmtId="3" fontId="8" fillId="0" borderId="2" xfId="0" quotePrefix="1" applyNumberFormat="1" applyFont="1" applyBorder="1">
      <alignment vertical="center"/>
    </xf>
    <xf numFmtId="0" fontId="8" fillId="0" borderId="2" xfId="0" quotePrefix="1" applyFont="1" applyBorder="1">
      <alignment vertical="center"/>
    </xf>
    <xf numFmtId="176" fontId="8" fillId="0" borderId="2" xfId="0" applyNumberFormat="1" applyFont="1" applyBorder="1">
      <alignment vertical="center"/>
    </xf>
    <xf numFmtId="0" fontId="3" fillId="2" borderId="5" xfId="0" applyFont="1" applyFill="1" applyBorder="1" applyAlignment="1">
      <alignment horizontal="center" vertical="center"/>
    </xf>
    <xf numFmtId="0" fontId="3" fillId="0" borderId="2" xfId="0" applyFont="1" applyBorder="1" applyAlignment="1">
      <alignment horizontal="left" vertical="center"/>
    </xf>
    <xf numFmtId="0" fontId="3" fillId="0" borderId="2" xfId="0" applyFont="1" applyBorder="1">
      <alignment vertical="center"/>
    </xf>
    <xf numFmtId="0" fontId="3" fillId="7" borderId="2" xfId="0" applyFont="1" applyFill="1" applyBorder="1">
      <alignment vertical="center"/>
    </xf>
    <xf numFmtId="0" fontId="5" fillId="7" borderId="5" xfId="0" applyFont="1" applyFill="1" applyBorder="1" applyAlignment="1">
      <alignment horizontal="center" vertical="center"/>
    </xf>
    <xf numFmtId="0" fontId="3" fillId="7" borderId="2" xfId="0" applyFont="1" applyFill="1" applyBorder="1" applyAlignment="1">
      <alignment horizontal="center" vertical="center"/>
    </xf>
    <xf numFmtId="0" fontId="3" fillId="3" borderId="5" xfId="0" applyFont="1" applyFill="1" applyBorder="1" applyAlignment="1">
      <alignment horizontal="center" vertical="center"/>
    </xf>
    <xf numFmtId="0" fontId="3" fillId="7" borderId="5" xfId="0" applyFont="1" applyFill="1" applyBorder="1" applyAlignment="1">
      <alignment horizontal="center" vertical="center"/>
    </xf>
    <xf numFmtId="0" fontId="3" fillId="0" borderId="0" xfId="0" quotePrefix="1" applyFont="1">
      <alignment vertical="center"/>
    </xf>
    <xf numFmtId="0" fontId="8" fillId="3" borderId="2" xfId="0" applyFont="1" applyFill="1" applyBorder="1">
      <alignment vertical="center"/>
    </xf>
    <xf numFmtId="0" fontId="8" fillId="0" borderId="0" xfId="0" applyFont="1" applyAlignment="1">
      <alignment horizontal="center" vertical="center"/>
    </xf>
    <xf numFmtId="0" fontId="8" fillId="0" borderId="2" xfId="0" applyFont="1" applyBorder="1" applyAlignment="1">
      <alignment horizontal="right" vertical="center"/>
    </xf>
    <xf numFmtId="0" fontId="8" fillId="0" borderId="2" xfId="0" applyFont="1" applyBorder="1" applyAlignment="1">
      <alignment horizontal="center" vertical="center"/>
    </xf>
    <xf numFmtId="38" fontId="8" fillId="0" borderId="2" xfId="1" applyFont="1" applyBorder="1" applyAlignment="1">
      <alignment vertical="center"/>
    </xf>
    <xf numFmtId="0" fontId="8" fillId="0" borderId="6" xfId="0" applyFont="1" applyBorder="1">
      <alignment vertical="center"/>
    </xf>
    <xf numFmtId="0" fontId="8" fillId="0" borderId="7" xfId="0" applyFont="1" applyBorder="1">
      <alignment vertical="center"/>
    </xf>
    <xf numFmtId="0" fontId="8" fillId="0" borderId="8" xfId="0" applyFont="1" applyBorder="1">
      <alignment vertical="center"/>
    </xf>
    <xf numFmtId="0" fontId="8" fillId="0" borderId="9" xfId="0" applyFont="1" applyBorder="1">
      <alignment vertical="center"/>
    </xf>
    <xf numFmtId="0" fontId="8" fillId="2" borderId="10" xfId="0" applyFont="1" applyFill="1" applyBorder="1">
      <alignment vertical="center"/>
    </xf>
    <xf numFmtId="0" fontId="8" fillId="0" borderId="11" xfId="0" applyFont="1" applyBorder="1">
      <alignment vertical="center"/>
    </xf>
    <xf numFmtId="0" fontId="8" fillId="0" borderId="12" xfId="0" applyFont="1" applyBorder="1">
      <alignment vertical="center"/>
    </xf>
    <xf numFmtId="0" fontId="8" fillId="0" borderId="13" xfId="0" applyFont="1" applyBorder="1">
      <alignment vertical="center"/>
    </xf>
    <xf numFmtId="0" fontId="8" fillId="2" borderId="13" xfId="0" applyFont="1" applyFill="1" applyBorder="1">
      <alignment vertical="center"/>
    </xf>
    <xf numFmtId="0" fontId="8" fillId="0" borderId="14" xfId="0" applyFont="1" applyBorder="1">
      <alignment vertical="center"/>
    </xf>
    <xf numFmtId="0" fontId="15" fillId="8" borderId="12" xfId="0" applyFont="1" applyFill="1" applyBorder="1">
      <alignment vertical="center"/>
    </xf>
    <xf numFmtId="0" fontId="15" fillId="8" borderId="13" xfId="0" applyFont="1" applyFill="1" applyBorder="1">
      <alignment vertical="center"/>
    </xf>
    <xf numFmtId="0" fontId="15" fillId="8" borderId="14" xfId="0" applyFont="1" applyFill="1" applyBorder="1">
      <alignment vertical="center"/>
    </xf>
    <xf numFmtId="176" fontId="8" fillId="0" borderId="10" xfId="0" applyNumberFormat="1" applyFont="1" applyBorder="1">
      <alignment vertical="center"/>
    </xf>
    <xf numFmtId="0" fontId="8" fillId="0" borderId="15" xfId="0" applyFont="1" applyBorder="1">
      <alignment vertical="center"/>
    </xf>
    <xf numFmtId="0" fontId="8" fillId="0" borderId="5" xfId="0" applyFont="1" applyBorder="1">
      <alignment vertical="center"/>
    </xf>
    <xf numFmtId="9" fontId="8" fillId="0" borderId="0" xfId="2" quotePrefix="1" applyFont="1" applyFill="1" applyBorder="1">
      <alignment vertical="center"/>
    </xf>
    <xf numFmtId="38" fontId="8" fillId="0" borderId="0" xfId="1" quotePrefix="1" applyFont="1" applyBorder="1">
      <alignment vertical="center"/>
    </xf>
    <xf numFmtId="0" fontId="17" fillId="0" borderId="0" xfId="0" applyFont="1">
      <alignment vertical="center"/>
    </xf>
    <xf numFmtId="0" fontId="19" fillId="0" borderId="0" xfId="4" applyFont="1" applyBorder="1" applyAlignment="1" applyProtection="1">
      <alignment vertical="center" wrapText="1"/>
    </xf>
    <xf numFmtId="0" fontId="17" fillId="0" borderId="0" xfId="0" applyFont="1" applyAlignment="1">
      <alignment horizontal="center" vertical="center" wrapText="1"/>
    </xf>
    <xf numFmtId="0" fontId="17" fillId="0" borderId="0" xfId="0" applyFont="1" applyAlignment="1">
      <alignment horizontal="right" vertical="center" wrapText="1"/>
    </xf>
    <xf numFmtId="0" fontId="20" fillId="0" borderId="0" xfId="0" applyFont="1">
      <alignment vertical="center"/>
    </xf>
    <xf numFmtId="49" fontId="17" fillId="0" borderId="0" xfId="0" applyNumberFormat="1" applyFont="1" applyAlignment="1">
      <alignment horizontal="right" vertical="center"/>
    </xf>
    <xf numFmtId="0" fontId="21" fillId="0" borderId="0" xfId="0" applyFont="1">
      <alignment vertical="center"/>
    </xf>
    <xf numFmtId="0" fontId="17" fillId="0" borderId="0" xfId="0" applyFont="1" applyAlignment="1">
      <alignment horizontal="center" vertical="center"/>
    </xf>
    <xf numFmtId="0" fontId="17" fillId="0" borderId="0" xfId="0" applyFont="1" applyAlignment="1">
      <alignment horizontal="left" vertical="center"/>
    </xf>
    <xf numFmtId="49" fontId="17" fillId="0" borderId="0" xfId="0" applyNumberFormat="1" applyFont="1">
      <alignment vertical="center"/>
    </xf>
    <xf numFmtId="0" fontId="3" fillId="0" borderId="0" xfId="0" applyFont="1" applyAlignment="1">
      <alignment vertical="center" wrapText="1"/>
    </xf>
    <xf numFmtId="49" fontId="17" fillId="0" borderId="0" xfId="0" applyNumberFormat="1" applyFont="1" applyAlignment="1">
      <alignment horizontal="left" vertical="center"/>
    </xf>
    <xf numFmtId="0" fontId="19" fillId="0" borderId="0" xfId="4" applyFont="1" applyBorder="1" applyAlignment="1" applyProtection="1">
      <alignment vertical="center"/>
    </xf>
    <xf numFmtId="0" fontId="17" fillId="0" borderId="0" xfId="0" quotePrefix="1" applyFont="1" applyAlignment="1">
      <alignment horizontal="right" vertical="center"/>
    </xf>
    <xf numFmtId="0" fontId="8" fillId="4" borderId="2" xfId="0" applyFont="1" applyFill="1" applyBorder="1">
      <alignment vertical="center"/>
    </xf>
    <xf numFmtId="0" fontId="8" fillId="2" borderId="5"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3" xfId="0" applyFont="1" applyFill="1" applyBorder="1" applyAlignment="1">
      <alignment horizontal="center" vertical="center"/>
    </xf>
    <xf numFmtId="0" fontId="23" fillId="0" borderId="0" xfId="0" applyFont="1">
      <alignment vertical="center"/>
    </xf>
    <xf numFmtId="0" fontId="24" fillId="0" borderId="0" xfId="0" applyFont="1">
      <alignment vertical="center"/>
    </xf>
    <xf numFmtId="0" fontId="0" fillId="0" borderId="0" xfId="0" quotePrefix="1">
      <alignment vertical="center"/>
    </xf>
    <xf numFmtId="0" fontId="3" fillId="2" borderId="2" xfId="0" applyFont="1" applyFill="1" applyBorder="1" applyAlignment="1">
      <alignment horizontal="center" vertical="center"/>
    </xf>
    <xf numFmtId="0" fontId="8" fillId="2" borderId="0" xfId="0" applyFont="1" applyFill="1" applyAlignment="1">
      <alignment horizontal="center" vertical="center"/>
    </xf>
    <xf numFmtId="0" fontId="8" fillId="2" borderId="2" xfId="0" applyFont="1" applyFill="1" applyBorder="1" applyAlignment="1">
      <alignment horizontal="center" vertical="center"/>
    </xf>
    <xf numFmtId="38" fontId="3" fillId="0" borderId="2" xfId="1" applyFont="1" applyFill="1" applyBorder="1">
      <alignment vertical="center"/>
    </xf>
    <xf numFmtId="38" fontId="3" fillId="0" borderId="1" xfId="1" applyFont="1" applyFill="1" applyBorder="1">
      <alignment vertical="center"/>
    </xf>
    <xf numFmtId="0" fontId="8" fillId="2" borderId="2" xfId="0" applyFont="1" applyFill="1" applyBorder="1" applyAlignment="1">
      <alignment horizontal="left" vertical="center"/>
    </xf>
    <xf numFmtId="0" fontId="25" fillId="0" borderId="2" xfId="3" applyFont="1" applyBorder="1" applyAlignment="1">
      <alignment vertical="center" shrinkToFit="1"/>
    </xf>
    <xf numFmtId="0" fontId="28" fillId="0" borderId="0" xfId="0" applyFont="1">
      <alignment vertical="center"/>
    </xf>
    <xf numFmtId="0" fontId="5" fillId="0" borderId="0" xfId="0" applyFont="1">
      <alignment vertical="center"/>
    </xf>
    <xf numFmtId="0" fontId="5" fillId="0" borderId="2" xfId="0" applyFont="1" applyBorder="1" applyAlignment="1">
      <alignment horizontal="center" vertical="center"/>
    </xf>
    <xf numFmtId="10" fontId="8" fillId="0" borderId="2" xfId="2" applyNumberFormat="1" applyFont="1" applyBorder="1" applyAlignment="1">
      <alignment horizontal="right" vertical="center"/>
    </xf>
    <xf numFmtId="38" fontId="8" fillId="0" borderId="2" xfId="1" applyFont="1" applyBorder="1" applyAlignment="1">
      <alignment horizontal="right" vertical="center"/>
    </xf>
    <xf numFmtId="40" fontId="8" fillId="0" borderId="2" xfId="1" applyNumberFormat="1" applyFont="1" applyBorder="1" applyAlignment="1">
      <alignment horizontal="right" vertical="center"/>
    </xf>
    <xf numFmtId="0" fontId="8" fillId="0" borderId="2" xfId="1" applyNumberFormat="1" applyFont="1" applyBorder="1" applyAlignment="1">
      <alignment horizontal="right" vertical="center"/>
    </xf>
    <xf numFmtId="40" fontId="8" fillId="0" borderId="2" xfId="1" applyNumberFormat="1" applyFont="1" applyFill="1" applyBorder="1">
      <alignment vertical="center"/>
    </xf>
    <xf numFmtId="40" fontId="8" fillId="0" borderId="2" xfId="1" applyNumberFormat="1" applyFont="1" applyBorder="1">
      <alignment vertical="center"/>
    </xf>
    <xf numFmtId="0" fontId="3" fillId="0" borderId="2" xfId="0" applyFont="1" applyBorder="1" applyAlignment="1">
      <alignment horizontal="center" vertical="center"/>
    </xf>
    <xf numFmtId="0" fontId="3" fillId="0" borderId="2" xfId="0" applyFont="1" applyBorder="1" applyAlignment="1">
      <alignment horizontal="left" vertical="center" wrapText="1"/>
    </xf>
    <xf numFmtId="0" fontId="3" fillId="7" borderId="2" xfId="0" applyFont="1" applyFill="1" applyBorder="1" applyAlignment="1">
      <alignment horizontal="center" vertical="center"/>
    </xf>
    <xf numFmtId="0" fontId="3" fillId="0" borderId="5" xfId="3" applyFont="1" applyBorder="1" applyAlignment="1">
      <alignment horizontal="center" vertical="center"/>
    </xf>
    <xf numFmtId="0" fontId="3" fillId="0" borderId="3" xfId="3" applyFont="1" applyBorder="1" applyAlignment="1">
      <alignment horizontal="center" vertical="center"/>
    </xf>
    <xf numFmtId="0" fontId="3" fillId="0" borderId="5" xfId="3" applyFont="1" applyBorder="1" applyAlignment="1">
      <alignment horizontal="left" vertical="center"/>
    </xf>
    <xf numFmtId="0" fontId="3" fillId="0" borderId="4" xfId="3" applyFont="1" applyBorder="1" applyAlignment="1">
      <alignment horizontal="left" vertical="center"/>
    </xf>
    <xf numFmtId="0" fontId="3" fillId="0" borderId="3" xfId="3" applyFont="1" applyBorder="1" applyAlignment="1">
      <alignment horizontal="left" vertical="center"/>
    </xf>
    <xf numFmtId="0" fontId="8" fillId="0" borderId="2" xfId="0" applyFont="1" applyBorder="1" applyAlignment="1">
      <alignment horizontal="center" vertical="center"/>
    </xf>
    <xf numFmtId="0" fontId="8" fillId="2" borderId="2" xfId="0" applyFont="1" applyFill="1" applyBorder="1" applyAlignment="1">
      <alignment horizontal="center" vertical="center"/>
    </xf>
    <xf numFmtId="0" fontId="3" fillId="0" borderId="5" xfId="0" applyFont="1" applyBorder="1" applyAlignment="1">
      <alignment horizontal="left" vertical="center"/>
    </xf>
    <xf numFmtId="0" fontId="3" fillId="0" borderId="4" xfId="0" applyFont="1" applyBorder="1" applyAlignment="1">
      <alignment horizontal="left" vertical="center"/>
    </xf>
    <xf numFmtId="0" fontId="3" fillId="0" borderId="3" xfId="0" applyFont="1" applyBorder="1" applyAlignment="1">
      <alignment horizontal="left" vertical="center"/>
    </xf>
    <xf numFmtId="0" fontId="3" fillId="7" borderId="5" xfId="0" applyFont="1" applyFill="1" applyBorder="1" applyAlignment="1">
      <alignment horizontal="center" vertical="center"/>
    </xf>
    <xf numFmtId="0" fontId="3" fillId="7" borderId="4" xfId="0" applyFont="1" applyFill="1" applyBorder="1" applyAlignment="1">
      <alignment horizontal="center" vertical="center"/>
    </xf>
    <xf numFmtId="0" fontId="3" fillId="7" borderId="3" xfId="0" applyFont="1" applyFill="1" applyBorder="1" applyAlignment="1">
      <alignment horizontal="center" vertical="center"/>
    </xf>
    <xf numFmtId="0" fontId="8" fillId="0" borderId="5" xfId="0" applyFont="1" applyBorder="1" applyAlignment="1">
      <alignment horizontal="center" vertical="center"/>
    </xf>
    <xf numFmtId="0" fontId="8" fillId="0" borderId="3" xfId="0" applyFont="1" applyBorder="1" applyAlignment="1">
      <alignment horizontal="center" vertical="center"/>
    </xf>
    <xf numFmtId="0" fontId="26" fillId="0" borderId="2" xfId="0" applyFont="1" applyBorder="1" applyAlignment="1">
      <alignment horizontal="center" vertical="center"/>
    </xf>
    <xf numFmtId="0" fontId="8" fillId="4" borderId="2" xfId="0" applyFont="1" applyFill="1" applyBorder="1" applyAlignment="1">
      <alignment horizontal="center" vertical="center"/>
    </xf>
    <xf numFmtId="0" fontId="27" fillId="0" borderId="2" xfId="0" applyFont="1" applyBorder="1" applyAlignment="1">
      <alignment horizontal="center" vertical="center"/>
    </xf>
    <xf numFmtId="0" fontId="3" fillId="0" borderId="2" xfId="0" applyFont="1" applyBorder="1" applyAlignment="1">
      <alignment horizontal="left" vertical="center"/>
    </xf>
    <xf numFmtId="0" fontId="3" fillId="0" borderId="5" xfId="0" applyFont="1" applyBorder="1" applyAlignment="1">
      <alignment horizontal="left" vertical="center" wrapText="1"/>
    </xf>
    <xf numFmtId="0" fontId="3" fillId="0" borderId="4" xfId="0" applyFont="1" applyBorder="1" applyAlignment="1">
      <alignment horizontal="left" vertical="center" wrapText="1"/>
    </xf>
    <xf numFmtId="0" fontId="3" fillId="0" borderId="3" xfId="0" applyFont="1" applyBorder="1" applyAlignment="1">
      <alignment horizontal="left" vertical="center" wrapText="1"/>
    </xf>
  </cellXfs>
  <cellStyles count="5">
    <cellStyle name="パーセント" xfId="2" builtinId="5"/>
    <cellStyle name="ハイパーリンク" xfId="4" builtinId="8"/>
    <cellStyle name="桁区切り" xfId="1" builtinId="6"/>
    <cellStyle name="標準" xfId="0" builtinId="0"/>
    <cellStyle name="標準 3" xfId="3" xr:uid="{00000000-0005-0000-0000-000004000000}"/>
  </cellStyles>
  <dxfs count="64">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Light16"/>
  <colors>
    <mruColors>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79f0b56d54f942e780bd4d569238805a">
      <tp t="s">
        <v/>
        <stp/>
        <stp>Market</stp>
        <stp>STOCK</stp>
        <stp>0</stp>
        <stp>前日比</stp>
        <tr r="F13" s="7"/>
      </tp>
    </main>
    <main first="rtdsrv.79f0b56d54f942e780bd4d569238805a">
      <tp t="s">
        <v/>
        <stp/>
        <stp>Market</stp>
        <stp>STOCK</stp>
        <stp/>
        <stp>前日比</stp>
        <tr r="F13" s="3"/>
      </tp>
    </main>
    <main first="rtdsrv.79f0b56d54f942e780bd4d569238805a">
      <tp t="s">
        <v/>
        <stp/>
        <stp>Market</stp>
        <stp>STOCK</stp>
        <stp/>
        <stp>安値</stp>
        <tr r="C18" s="3"/>
      </tp>
    </main>
    <main first="rtdsrv.79f0b56d54f942e780bd4d569238805a">
      <tp t="s">
        <v/>
        <stp/>
        <stp>Market</stp>
        <stp>STOCK</stp>
        <stp/>
        <stp>始値</stp>
        <tr r="C16" s="3"/>
      </tp>
    </main>
    <main first="rtdsrv.79f0b56d54f942e780bd4d569238805a">
      <tp t="s">
        <v/>
        <stp/>
        <stp>Market</stp>
        <stp>STOCK</stp>
        <stp>0</stp>
        <stp>市場名称</stp>
        <tr r="E11" s="7"/>
      </tp>
      <tp t="s">
        <v/>
        <stp/>
        <stp>Market</stp>
        <stp>STOCK</stp>
        <stp>0</stp>
        <stp>出来高加重平均</stp>
        <tr r="H13" s="7"/>
      </tp>
    </main>
    <main first="rtdsrv.79f0b56d54f942e780bd4d569238805a">
      <tp t="s">
        <v/>
        <stp/>
        <stp>Market</stp>
        <stp>STOCK</stp>
        <stp>0</stp>
        <stp>現在値時刻</stp>
        <tr r="D13" s="7"/>
      </tp>
    </main>
    <main first="rtdsrv.79f0b56d54f942e780bd4d569238805a">
      <tp t="s">
        <v/>
        <stp/>
        <stp>FOPCapacityList</stp>
        <stp>1188041238848,5,5,13,13</stp>
        <tr r="N6" s="2"/>
      </tp>
      <tp t="s">
        <v/>
        <stp/>
        <stp>Market</stp>
        <stp>STOCK</stp>
        <stp/>
        <stp>出来高加重平均</stp>
        <tr r="H13" s="3"/>
      </tp>
    </main>
    <main first="rtdsrv.79f0b56d54f942e780bd4d569238805a">
      <tp t="s">
        <v/>
        <stp/>
        <stp>Market</stp>
        <stp>STOCK</stp>
        <stp>0</stp>
        <stp>信用貸借区分</stp>
        <tr r="F11" s="7"/>
      </tp>
      <tp t="s">
        <v/>
        <stp/>
        <stp>Market</stp>
        <stp>STOCK</stp>
        <stp/>
        <stp>現在値時刻</stp>
        <tr r="D13" s="3"/>
      </tp>
      <tp t="s">
        <v/>
        <stp/>
        <stp>Market</stp>
        <stp>STOCK</stp>
        <stp>0</stp>
        <stp>安値時刻</stp>
        <tr r="D18" s="7"/>
      </tp>
      <tp t="s">
        <v/>
        <stp/>
        <stp>Market</stp>
        <stp>STOCK</stp>
        <stp>0</stp>
        <stp>始値時刻</stp>
        <tr r="D16" s="7"/>
      </tp>
      <tp t="s">
        <v/>
        <stp/>
        <stp>Market</stp>
        <stp>STOCK</stp>
        <stp>0</stp>
        <stp>高値時刻</stp>
        <tr r="D17" s="7"/>
      </tp>
    </main>
    <main first="rtdsrv.79f0b56d54f942e780bd4d569238805a">
      <tp t="s">
        <v/>
        <stp/>
        <stp>TrendSMA</stp>
        <stp>1188969961088,48,48,10,10</stp>
        <stp>0</stp>
        <stp>5M</stp>
        <stp>90</stp>
        <stp>5</stp>
        <stp>25</stp>
        <stp>0</stp>
        <stp>0</stp>
        <stp>0</stp>
        <stp>0</stp>
        <stp>0</stp>
        <tr r="K49" s="7"/>
      </tp>
    </main>
    <main first="rtdsrv.79f0b56d54f942e780bd4d569238805a">
      <tp t="s">
        <v/>
        <stp/>
        <stp>Market</stp>
        <stp>STOCK</stp>
        <stp/>
        <stp>信用貸借区分</stp>
        <tr r="F11" s="3"/>
      </tp>
      <tp t="s">
        <v/>
        <stp/>
        <stp>Chart</stp>
        <stp>1188969961088,48,48,1,1</stp>
        <stp>0</stp>
        <stp>5M</stp>
        <stp>90</stp>
        <tr r="B49" s="7"/>
      </tp>
    </main>
    <main first="rtdsrv.79f0b56d54f942e780bd4d569238805a">
      <tp t="s">
        <v/>
        <stp/>
        <stp>Market</stp>
        <stp>STOCK</stp>
        <stp/>
        <stp>市場名称</stp>
        <tr r="E11" s="3"/>
      </tp>
      <tp t="s">
        <v/>
        <stp/>
        <stp>Chart</stp>
        <stp>1188041176224,48,48,1,1</stp>
        <stp/>
        <stp>5M</stp>
        <stp>90</stp>
        <tr r="B49" s="3"/>
      </tp>
      <tp t="s">
        <v/>
        <stp/>
        <stp>MarginPositionList</stp>
        <stp>1188041317024,0,0,0,0</stp>
        <stp/>
        <stp>A</stp>
        <stp>0</stp>
        <stp>0</stp>
        <stp>0</stp>
        <tr r="A1" s="6"/>
      </tp>
    </main>
    <main first="rtdsrv.79f0b56d54f942e780bd4d569238805a">
      <tp t="s">
        <v/>
        <stp/>
        <stp>CapacityList</stp>
        <stp>1188041176224,4,4,17,17</stp>
        <tr r="R5" s="3"/>
      </tp>
      <tp t="s">
        <v/>
        <stp/>
        <stp>Market</stp>
        <stp>STOCK</stp>
        <stp>0</stp>
        <stp>安値</stp>
        <tr r="C18" s="7"/>
      </tp>
    </main>
    <main first="rtdsrv.79f0b56d54f942e780bd4d569238805a">
      <tp t="s">
        <v/>
        <stp/>
        <stp>OrderIDList</stp>
        <stp>1188041189584,4,4,0,0</stp>
        <tr r="A5" s="5"/>
      </tp>
    </main>
    <main first="rtdsrv.79f0b56d54f942e780bd4d569238805a">
      <tp t="s">
        <v/>
        <stp/>
        <stp>Market</stp>
        <stp>STOCK</stp>
        <stp>0</stp>
        <stp>始値</stp>
        <tr r="C16" s="7"/>
      </tp>
    </main>
    <main first="rtdsrv.79f0b56d54f942e780bd4d569238805a">
      <tp t="s">
        <v/>
        <stp/>
        <stp>CapacityList</stp>
        <stp>1188969961088,4,4,17,17</stp>
        <tr r="R5" s="7"/>
      </tp>
    </main>
    <main first="rtdsrv.79f0b56d54f942e780bd4d569238805a">
      <tp t="s">
        <v/>
        <stp/>
        <stp>CapacityList</stp>
        <stp>1188041222416,5,5,15,15</stp>
        <tr r="P6" s="1"/>
      </tp>
      <tp t="s">
        <v/>
        <stp/>
        <stp>Market</stp>
        <stp>STOCK</stp>
        <stp/>
        <stp>PBR</stp>
        <tr r="H15" s="3"/>
      </tp>
      <tp t="s">
        <v/>
        <stp/>
        <stp>Market</stp>
        <stp>STOCK</stp>
        <stp/>
        <stp>PER</stp>
        <tr r="H16" s="3"/>
      </tp>
      <tp t="s">
        <v/>
        <stp/>
        <stp>Market</stp>
        <stp>STOCK</stp>
        <stp/>
        <stp>安値時刻</stp>
        <tr r="D18" s="3"/>
      </tp>
      <tp t="s">
        <v/>
        <stp/>
        <stp>Market</stp>
        <stp>STOCK</stp>
        <stp/>
        <stp>始値時刻</stp>
        <tr r="D16" s="3"/>
      </tp>
      <tp t="s">
        <v/>
        <stp/>
        <stp>Market</stp>
        <stp>STOCK</stp>
        <stp/>
        <stp>高値時刻</stp>
        <tr r="D17" s="3"/>
      </tp>
      <tp t="s">
        <v/>
        <stp/>
        <stp>TrendSMA</stp>
        <stp>1188041176224,48,48,10,10</stp>
        <stp/>
        <stp>5M</stp>
        <stp>90</stp>
        <stp>5</stp>
        <stp>25</stp>
        <stp>0</stp>
        <stp>0</stp>
        <stp>0</stp>
        <stp>0</stp>
        <stp>0</stp>
        <tr r="K49" s="3"/>
      </tp>
    </main>
    <main first="rtdsrv.79f0b56d54f942e780bd4d569238805a">
      <tp t="s">
        <v/>
        <stp/>
        <stp>Market</stp>
        <stp>STOCK</stp>
        <stp>0</stp>
        <stp>PER</stp>
        <tr r="H16" s="7"/>
      </tp>
      <tp t="s">
        <v/>
        <stp/>
        <stp>Market</stp>
        <stp>STOCK</stp>
        <stp>0</stp>
        <stp>PBR</stp>
        <tr r="H15" s="7"/>
      </tp>
      <tp t="s">
        <v/>
        <stp/>
        <stp>Market</stp>
        <stp>STOCK</stp>
        <stp>0</stp>
        <stp>現在値</stp>
        <tr r="C13" s="7"/>
      </tp>
      <tp t="s">
        <v/>
        <stp/>
        <stp>Market</stp>
        <stp>STOCK</stp>
        <stp>0</stp>
        <stp>最良売気配時刻</stp>
        <tr r="D14" s="7"/>
      </tp>
      <tp t="s">
        <v/>
        <stp/>
        <stp>Market</stp>
        <stp>STOCK</stp>
        <stp>0</stp>
        <stp>最良買気配時刻</stp>
        <tr r="D15" s="7"/>
      </tp>
      <tp t="s">
        <v/>
        <stp/>
        <stp>Market</stp>
        <stp>STOCK</stp>
        <stp>0</stp>
        <stp>売買代金</stp>
        <tr r="F18" s="7"/>
      </tp>
    </main>
    <main first="rtdsrv.79f0b56d54f942e780bd4d569238805a">
      <tp t="s">
        <v/>
        <stp/>
        <stp>Market</stp>
        <stp>STOCK</stp>
        <stp/>
        <stp>最良売気配時刻</stp>
        <tr r="D14" s="3"/>
      </tp>
      <tp t="s">
        <v/>
        <stp/>
        <stp>Market</stp>
        <stp>STOCK</stp>
        <stp/>
        <stp>現在値</stp>
        <tr r="C13" s="3"/>
      </tp>
      <tp t="s">
        <v/>
        <stp/>
        <stp>Market</stp>
        <stp>STOCK</stp>
        <stp/>
        <stp>最良買気配時刻</stp>
        <tr r="D15" s="3"/>
      </tp>
    </main>
    <main first="rtdsrv.79f0b56d54f942e780bd4d569238805a">
      <tp t="s">
        <v/>
        <stp/>
        <stp>Market</stp>
        <stp>STOCK</stp>
        <stp>0</stp>
        <stp>時価総額</stp>
        <tr r="H14" s="7"/>
      </tp>
      <tp t="s">
        <v/>
        <stp/>
        <stp>Market</stp>
        <stp>STOCK</stp>
        <stp>0</stp>
        <stp>高値</stp>
        <tr r="C17" s="7"/>
      </tp>
    </main>
    <main first="rtdsrv.79f0b56d54f942e780bd4d569238805a">
      <tp t="s">
        <v/>
        <stp/>
        <stp>Market</stp>
        <stp>STOCK</stp>
        <stp/>
        <stp>出来高</stp>
        <tr r="F17" s="3"/>
      </tp>
    </main>
    <main first="rtdsrv.79f0b56d54f942e780bd4d569238805a">
      <tp t="s">
        <v/>
        <stp/>
        <stp>Market</stp>
        <stp>STOCK</stp>
        <stp/>
        <stp>最良売気配値</stp>
        <tr r="C14" s="3"/>
      </tp>
      <tp t="s">
        <v/>
        <stp/>
        <stp>Market</stp>
        <stp>STOCK</stp>
        <stp/>
        <stp>最良買気配値</stp>
        <tr r="C15" s="3"/>
      </tp>
      <tp t="s">
        <v/>
        <stp/>
        <stp>Market</stp>
        <stp>STOCK</stp>
        <stp/>
        <stp>前日比率</stp>
        <tr r="F14" s="3"/>
      </tp>
      <tp t="s">
        <v/>
        <stp/>
        <stp>Market</stp>
        <stp>STOCK</stp>
        <stp/>
        <stp>前日日付</stp>
        <tr r="F16" s="3"/>
      </tp>
    </main>
    <main first="rtdsrv.79f0b56d54f942e780bd4d569238805a">
      <tp t="s">
        <v/>
        <stp/>
        <stp>Market</stp>
        <stp>STOCK</stp>
        <stp/>
        <stp>前日終値</stp>
        <tr r="F15" s="3"/>
      </tp>
    </main>
    <main first="rtdsrv.79f0b56d54f942e780bd4d569238805a">
      <tp t="s">
        <v/>
        <stp/>
        <stp>Market</stp>
        <stp>STOCK</stp>
        <stp>0</stp>
        <stp>出来高</stp>
        <tr r="F17" s="7"/>
      </tp>
    </main>
    <main first="rtdsrv.79f0b56d54f942e780bd4d569238805a">
      <tp t="s">
        <v/>
        <stp/>
        <stp>Market</stp>
        <stp>STOCK</stp>
        <stp/>
        <stp>銘柄名称</stp>
        <tr r="C11" s="3"/>
      </tp>
    </main>
    <main first="rtdsrv.79f0b56d54f942e780bd4d569238805a">
      <tp t="s">
        <v/>
        <stp/>
        <stp>Market</stp>
        <stp>STOCK</stp>
        <stp/>
        <stp>売買代金</stp>
        <tr r="F18" s="3"/>
      </tp>
    </main>
    <main first="rtdsrv.79f0b56d54f942e780bd4d569238805a">
      <tp t="s">
        <v/>
        <stp/>
        <stp>Market</stp>
        <stp>STOCK</stp>
        <stp/>
        <stp>高値</stp>
        <tr r="C17" s="3"/>
      </tp>
    </main>
    <main first="rtdsrv.79f0b56d54f942e780bd4d569238805a">
      <tp t="s">
        <v/>
        <stp/>
        <stp>Market</stp>
        <stp>STOCK</stp>
        <stp>0</stp>
        <stp>最良売気配値</stp>
        <tr r="C14" s="7"/>
      </tp>
      <tp t="s">
        <v/>
        <stp/>
        <stp>Market</stp>
        <stp>STOCK</stp>
        <stp>0</stp>
        <stp>最良買気配値</stp>
        <tr r="C15" s="7"/>
      </tp>
      <tp t="s">
        <v/>
        <stp/>
        <stp>Market</stp>
        <stp>STOCK</stp>
        <stp>0</stp>
        <stp>前日終値</stp>
        <tr r="F15" s="7"/>
      </tp>
      <tp t="s">
        <v/>
        <stp/>
        <stp>Market</stp>
        <stp>STOCK</stp>
        <stp>0</stp>
        <stp>銘柄名称</stp>
        <tr r="P23" s="3"/>
        <tr r="C11" s="7"/>
        <tr r="P23" s="7"/>
      </tp>
    </main>
    <main first="rtdsrv.79f0b56d54f942e780bd4d569238805a">
      <tp t="s">
        <v/>
        <stp/>
        <stp>Market</stp>
        <stp>STOCK</stp>
        <stp>0</stp>
        <stp>前日比率</stp>
        <tr r="F14" s="7"/>
      </tp>
      <tp t="s">
        <v/>
        <stp/>
        <stp>Market</stp>
        <stp>STOCK</stp>
        <stp/>
        <stp>時価総額</stp>
        <tr r="H14" s="3"/>
      </tp>
    </main>
    <main first="rtdsrv.79f0b56d54f942e780bd4d569238805a">
      <tp t="s">
        <v/>
        <stp/>
        <stp>Market</stp>
        <stp>STOCK</stp>
        <stp>0</stp>
        <stp>前日日付</stp>
        <tr r="F16" s="7"/>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tockChart>
        <c:ser>
          <c:idx val="1"/>
          <c:order val="0"/>
          <c:tx>
            <c:strRef>
              <c:f>トリガー発注!$G$50</c:f>
              <c:strCache>
                <c:ptCount val="1"/>
                <c:pt idx="0">
                  <c:v>始値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トリガー発注!$G$51:$G$140</c:f>
              <c:numCache>
                <c:formatCode>#,##0</c:formatCode>
                <c:ptCount val="90"/>
                <c:pt idx="0">
                  <c:v>1187</c:v>
                </c:pt>
                <c:pt idx="1">
                  <c:v>1190</c:v>
                </c:pt>
                <c:pt idx="2">
                  <c:v>1188</c:v>
                </c:pt>
                <c:pt idx="3">
                  <c:v>1188</c:v>
                </c:pt>
                <c:pt idx="4">
                  <c:v>1193</c:v>
                </c:pt>
                <c:pt idx="5">
                  <c:v>1191</c:v>
                </c:pt>
                <c:pt idx="6">
                  <c:v>1191</c:v>
                </c:pt>
                <c:pt idx="7">
                  <c:v>1192</c:v>
                </c:pt>
                <c:pt idx="8">
                  <c:v>1190</c:v>
                </c:pt>
                <c:pt idx="9">
                  <c:v>1191</c:v>
                </c:pt>
                <c:pt idx="10">
                  <c:v>1191</c:v>
                </c:pt>
                <c:pt idx="11">
                  <c:v>1188</c:v>
                </c:pt>
                <c:pt idx="12">
                  <c:v>1184</c:v>
                </c:pt>
                <c:pt idx="13">
                  <c:v>1185</c:v>
                </c:pt>
                <c:pt idx="14">
                  <c:v>1184</c:v>
                </c:pt>
                <c:pt idx="15">
                  <c:v>1182</c:v>
                </c:pt>
                <c:pt idx="16">
                  <c:v>1180</c:v>
                </c:pt>
                <c:pt idx="17">
                  <c:v>1180</c:v>
                </c:pt>
                <c:pt idx="18">
                  <c:v>1182</c:v>
                </c:pt>
                <c:pt idx="19">
                  <c:v>1184</c:v>
                </c:pt>
                <c:pt idx="20">
                  <c:v>1183</c:v>
                </c:pt>
                <c:pt idx="21">
                  <c:v>1182</c:v>
                </c:pt>
                <c:pt idx="22">
                  <c:v>1181</c:v>
                </c:pt>
                <c:pt idx="23">
                  <c:v>1181</c:v>
                </c:pt>
                <c:pt idx="24">
                  <c:v>1178</c:v>
                </c:pt>
                <c:pt idx="25">
                  <c:v>1180</c:v>
                </c:pt>
                <c:pt idx="26">
                  <c:v>1177</c:v>
                </c:pt>
                <c:pt idx="27">
                  <c:v>1172</c:v>
                </c:pt>
                <c:pt idx="28">
                  <c:v>1169</c:v>
                </c:pt>
                <c:pt idx="29">
                  <c:v>1171</c:v>
                </c:pt>
                <c:pt idx="30">
                  <c:v>1168</c:v>
                </c:pt>
                <c:pt idx="31">
                  <c:v>1161</c:v>
                </c:pt>
                <c:pt idx="32">
                  <c:v>1160</c:v>
                </c:pt>
                <c:pt idx="33">
                  <c:v>1166</c:v>
                </c:pt>
                <c:pt idx="34">
                  <c:v>1158</c:v>
                </c:pt>
                <c:pt idx="35">
                  <c:v>1170</c:v>
                </c:pt>
                <c:pt idx="36">
                  <c:v>1173</c:v>
                </c:pt>
                <c:pt idx="37">
                  <c:v>1180</c:v>
                </c:pt>
                <c:pt idx="38">
                  <c:v>1177</c:v>
                </c:pt>
                <c:pt idx="39">
                  <c:v>1179</c:v>
                </c:pt>
                <c:pt idx="40">
                  <c:v>1184</c:v>
                </c:pt>
                <c:pt idx="41">
                  <c:v>1186</c:v>
                </c:pt>
                <c:pt idx="42">
                  <c:v>1186</c:v>
                </c:pt>
                <c:pt idx="43">
                  <c:v>1190</c:v>
                </c:pt>
                <c:pt idx="44">
                  <c:v>1193</c:v>
                </c:pt>
                <c:pt idx="45">
                  <c:v>1196</c:v>
                </c:pt>
                <c:pt idx="46">
                  <c:v>1198</c:v>
                </c:pt>
                <c:pt idx="47">
                  <c:v>1196</c:v>
                </c:pt>
                <c:pt idx="48">
                  <c:v>1191</c:v>
                </c:pt>
                <c:pt idx="49">
                  <c:v>1185</c:v>
                </c:pt>
                <c:pt idx="50">
                  <c:v>1185</c:v>
                </c:pt>
                <c:pt idx="51">
                  <c:v>1189</c:v>
                </c:pt>
                <c:pt idx="52">
                  <c:v>1189</c:v>
                </c:pt>
                <c:pt idx="53">
                  <c:v>1191</c:v>
                </c:pt>
                <c:pt idx="54">
                  <c:v>1187</c:v>
                </c:pt>
                <c:pt idx="55">
                  <c:v>1193</c:v>
                </c:pt>
                <c:pt idx="56">
                  <c:v>1190</c:v>
                </c:pt>
                <c:pt idx="57">
                  <c:v>1191</c:v>
                </c:pt>
                <c:pt idx="58">
                  <c:v>1187</c:v>
                </c:pt>
                <c:pt idx="59">
                  <c:v>1187</c:v>
                </c:pt>
                <c:pt idx="60">
                  <c:v>1189</c:v>
                </c:pt>
                <c:pt idx="61">
                  <c:v>1188</c:v>
                </c:pt>
                <c:pt idx="62">
                  <c:v>1185</c:v>
                </c:pt>
                <c:pt idx="63">
                  <c:v>1180</c:v>
                </c:pt>
                <c:pt idx="64">
                  <c:v>1165</c:v>
                </c:pt>
                <c:pt idx="65">
                  <c:v>1152</c:v>
                </c:pt>
                <c:pt idx="66">
                  <c:v>1153</c:v>
                </c:pt>
                <c:pt idx="67">
                  <c:v>1159</c:v>
                </c:pt>
                <c:pt idx="68">
                  <c:v>1157</c:v>
                </c:pt>
                <c:pt idx="69">
                  <c:v>1153</c:v>
                </c:pt>
                <c:pt idx="70">
                  <c:v>1153</c:v>
                </c:pt>
                <c:pt idx="71">
                  <c:v>1151</c:v>
                </c:pt>
                <c:pt idx="72">
                  <c:v>1151</c:v>
                </c:pt>
                <c:pt idx="73">
                  <c:v>1151</c:v>
                </c:pt>
                <c:pt idx="74">
                  <c:v>1149</c:v>
                </c:pt>
                <c:pt idx="75">
                  <c:v>1148</c:v>
                </c:pt>
                <c:pt idx="76">
                  <c:v>1155</c:v>
                </c:pt>
                <c:pt idx="77">
                  <c:v>1153</c:v>
                </c:pt>
                <c:pt idx="78">
                  <c:v>1154</c:v>
                </c:pt>
                <c:pt idx="79">
                  <c:v>1157</c:v>
                </c:pt>
                <c:pt idx="80">
                  <c:v>1157</c:v>
                </c:pt>
                <c:pt idx="81">
                  <c:v>1151</c:v>
                </c:pt>
                <c:pt idx="82">
                  <c:v>1153</c:v>
                </c:pt>
                <c:pt idx="83">
                  <c:v>1155</c:v>
                </c:pt>
                <c:pt idx="84">
                  <c:v>1158</c:v>
                </c:pt>
                <c:pt idx="85">
                  <c:v>1158</c:v>
                </c:pt>
                <c:pt idx="86">
                  <c:v>1159</c:v>
                </c:pt>
                <c:pt idx="87">
                  <c:v>1158</c:v>
                </c:pt>
                <c:pt idx="88">
                  <c:v>1154</c:v>
                </c:pt>
                <c:pt idx="89">
                  <c:v>1151</c:v>
                </c:pt>
              </c:numCache>
            </c:numRef>
          </c:val>
          <c:smooth val="0"/>
          <c:extLst>
            <c:ext xmlns:c16="http://schemas.microsoft.com/office/drawing/2014/chart" uri="{C3380CC4-5D6E-409C-BE32-E72D297353CC}">
              <c16:uniqueId val="{00000001-8FF7-4A64-B35F-1D0F2BA77298}"/>
            </c:ext>
          </c:extLst>
        </c:ser>
        <c:ser>
          <c:idx val="2"/>
          <c:order val="1"/>
          <c:tx>
            <c:strRef>
              <c:f>トリガー発注!$H$50</c:f>
              <c:strCache>
                <c:ptCount val="1"/>
                <c:pt idx="0">
                  <c:v>高値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トリガー発注!$H$51:$H$140</c:f>
              <c:numCache>
                <c:formatCode>#,##0</c:formatCode>
                <c:ptCount val="90"/>
                <c:pt idx="0">
                  <c:v>1193</c:v>
                </c:pt>
                <c:pt idx="1">
                  <c:v>1191</c:v>
                </c:pt>
                <c:pt idx="2">
                  <c:v>1190</c:v>
                </c:pt>
                <c:pt idx="3">
                  <c:v>1194</c:v>
                </c:pt>
                <c:pt idx="4">
                  <c:v>1194</c:v>
                </c:pt>
                <c:pt idx="5">
                  <c:v>1192</c:v>
                </c:pt>
                <c:pt idx="6">
                  <c:v>1192</c:v>
                </c:pt>
                <c:pt idx="7">
                  <c:v>1192</c:v>
                </c:pt>
                <c:pt idx="8">
                  <c:v>1191</c:v>
                </c:pt>
                <c:pt idx="9">
                  <c:v>1192</c:v>
                </c:pt>
                <c:pt idx="10">
                  <c:v>1191</c:v>
                </c:pt>
                <c:pt idx="11">
                  <c:v>1188</c:v>
                </c:pt>
                <c:pt idx="12">
                  <c:v>1186</c:v>
                </c:pt>
                <c:pt idx="13">
                  <c:v>1185</c:v>
                </c:pt>
                <c:pt idx="14">
                  <c:v>1185</c:v>
                </c:pt>
                <c:pt idx="15">
                  <c:v>1182</c:v>
                </c:pt>
                <c:pt idx="16">
                  <c:v>1181</c:v>
                </c:pt>
                <c:pt idx="17">
                  <c:v>1182</c:v>
                </c:pt>
                <c:pt idx="18">
                  <c:v>1184</c:v>
                </c:pt>
                <c:pt idx="19">
                  <c:v>1184</c:v>
                </c:pt>
                <c:pt idx="20">
                  <c:v>1183</c:v>
                </c:pt>
                <c:pt idx="21">
                  <c:v>1182</c:v>
                </c:pt>
                <c:pt idx="22">
                  <c:v>1183</c:v>
                </c:pt>
                <c:pt idx="23">
                  <c:v>1182</c:v>
                </c:pt>
                <c:pt idx="24">
                  <c:v>1180</c:v>
                </c:pt>
                <c:pt idx="25">
                  <c:v>1180</c:v>
                </c:pt>
                <c:pt idx="26">
                  <c:v>1177</c:v>
                </c:pt>
                <c:pt idx="27">
                  <c:v>1175</c:v>
                </c:pt>
                <c:pt idx="28">
                  <c:v>1172</c:v>
                </c:pt>
                <c:pt idx="29">
                  <c:v>1171</c:v>
                </c:pt>
                <c:pt idx="30">
                  <c:v>1168</c:v>
                </c:pt>
                <c:pt idx="31">
                  <c:v>1161</c:v>
                </c:pt>
                <c:pt idx="32">
                  <c:v>1175</c:v>
                </c:pt>
                <c:pt idx="33">
                  <c:v>1177</c:v>
                </c:pt>
                <c:pt idx="34">
                  <c:v>1172</c:v>
                </c:pt>
                <c:pt idx="35">
                  <c:v>1177</c:v>
                </c:pt>
                <c:pt idx="36">
                  <c:v>1182</c:v>
                </c:pt>
                <c:pt idx="37">
                  <c:v>1181</c:v>
                </c:pt>
                <c:pt idx="38">
                  <c:v>1181</c:v>
                </c:pt>
                <c:pt idx="39">
                  <c:v>1188</c:v>
                </c:pt>
                <c:pt idx="40">
                  <c:v>1187</c:v>
                </c:pt>
                <c:pt idx="41">
                  <c:v>1186</c:v>
                </c:pt>
                <c:pt idx="42">
                  <c:v>1192</c:v>
                </c:pt>
                <c:pt idx="43">
                  <c:v>1194</c:v>
                </c:pt>
                <c:pt idx="44">
                  <c:v>1198</c:v>
                </c:pt>
                <c:pt idx="45">
                  <c:v>1199</c:v>
                </c:pt>
                <c:pt idx="46">
                  <c:v>1199</c:v>
                </c:pt>
                <c:pt idx="47">
                  <c:v>1196</c:v>
                </c:pt>
                <c:pt idx="48">
                  <c:v>1193</c:v>
                </c:pt>
                <c:pt idx="49">
                  <c:v>1186</c:v>
                </c:pt>
                <c:pt idx="50">
                  <c:v>1188</c:v>
                </c:pt>
                <c:pt idx="51">
                  <c:v>1190</c:v>
                </c:pt>
                <c:pt idx="52">
                  <c:v>1192</c:v>
                </c:pt>
                <c:pt idx="53">
                  <c:v>1192</c:v>
                </c:pt>
                <c:pt idx="54">
                  <c:v>1193</c:v>
                </c:pt>
                <c:pt idx="55">
                  <c:v>1193</c:v>
                </c:pt>
                <c:pt idx="56">
                  <c:v>1191</c:v>
                </c:pt>
                <c:pt idx="57">
                  <c:v>1191</c:v>
                </c:pt>
                <c:pt idx="58">
                  <c:v>1188</c:v>
                </c:pt>
                <c:pt idx="59">
                  <c:v>1189</c:v>
                </c:pt>
                <c:pt idx="60">
                  <c:v>1189</c:v>
                </c:pt>
                <c:pt idx="61">
                  <c:v>1188</c:v>
                </c:pt>
                <c:pt idx="62">
                  <c:v>1186</c:v>
                </c:pt>
                <c:pt idx="63">
                  <c:v>1180</c:v>
                </c:pt>
                <c:pt idx="64">
                  <c:v>1168</c:v>
                </c:pt>
                <c:pt idx="65">
                  <c:v>1158</c:v>
                </c:pt>
                <c:pt idx="66">
                  <c:v>1161</c:v>
                </c:pt>
                <c:pt idx="67">
                  <c:v>1163</c:v>
                </c:pt>
                <c:pt idx="68">
                  <c:v>1157</c:v>
                </c:pt>
                <c:pt idx="69">
                  <c:v>1154</c:v>
                </c:pt>
                <c:pt idx="70">
                  <c:v>1153</c:v>
                </c:pt>
                <c:pt idx="71">
                  <c:v>1152</c:v>
                </c:pt>
                <c:pt idx="72">
                  <c:v>1152</c:v>
                </c:pt>
                <c:pt idx="73">
                  <c:v>1152</c:v>
                </c:pt>
                <c:pt idx="74">
                  <c:v>1151</c:v>
                </c:pt>
                <c:pt idx="75">
                  <c:v>1156</c:v>
                </c:pt>
                <c:pt idx="76">
                  <c:v>1156</c:v>
                </c:pt>
                <c:pt idx="77">
                  <c:v>1156</c:v>
                </c:pt>
                <c:pt idx="78">
                  <c:v>1156</c:v>
                </c:pt>
                <c:pt idx="79">
                  <c:v>1157</c:v>
                </c:pt>
                <c:pt idx="80">
                  <c:v>1157</c:v>
                </c:pt>
                <c:pt idx="81">
                  <c:v>1154</c:v>
                </c:pt>
                <c:pt idx="82">
                  <c:v>1156</c:v>
                </c:pt>
                <c:pt idx="83">
                  <c:v>1160</c:v>
                </c:pt>
                <c:pt idx="84">
                  <c:v>1160</c:v>
                </c:pt>
                <c:pt idx="85">
                  <c:v>1161</c:v>
                </c:pt>
                <c:pt idx="86">
                  <c:v>1159</c:v>
                </c:pt>
                <c:pt idx="87">
                  <c:v>1159</c:v>
                </c:pt>
                <c:pt idx="88">
                  <c:v>1154</c:v>
                </c:pt>
                <c:pt idx="89">
                  <c:v>1152</c:v>
                </c:pt>
              </c:numCache>
            </c:numRef>
          </c:val>
          <c:smooth val="0"/>
          <c:extLst>
            <c:ext xmlns:c16="http://schemas.microsoft.com/office/drawing/2014/chart" uri="{C3380CC4-5D6E-409C-BE32-E72D297353CC}">
              <c16:uniqueId val="{00000002-8FF7-4A64-B35F-1D0F2BA77298}"/>
            </c:ext>
          </c:extLst>
        </c:ser>
        <c:ser>
          <c:idx val="3"/>
          <c:order val="2"/>
          <c:tx>
            <c:strRef>
              <c:f>トリガー発注!$I$50</c:f>
              <c:strCache>
                <c:ptCount val="1"/>
                <c:pt idx="0">
                  <c:v>安値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トリガー発注!$I$51:$I$140</c:f>
              <c:numCache>
                <c:formatCode>#,##0</c:formatCode>
                <c:ptCount val="90"/>
                <c:pt idx="0">
                  <c:v>1178</c:v>
                </c:pt>
                <c:pt idx="1">
                  <c:v>1181</c:v>
                </c:pt>
                <c:pt idx="2">
                  <c:v>1181</c:v>
                </c:pt>
                <c:pt idx="3">
                  <c:v>1186</c:v>
                </c:pt>
                <c:pt idx="4">
                  <c:v>1189</c:v>
                </c:pt>
                <c:pt idx="5">
                  <c:v>1188</c:v>
                </c:pt>
                <c:pt idx="6">
                  <c:v>1189</c:v>
                </c:pt>
                <c:pt idx="7">
                  <c:v>1190</c:v>
                </c:pt>
                <c:pt idx="8">
                  <c:v>1186</c:v>
                </c:pt>
                <c:pt idx="9">
                  <c:v>1190</c:v>
                </c:pt>
                <c:pt idx="10">
                  <c:v>1188</c:v>
                </c:pt>
                <c:pt idx="11">
                  <c:v>1183</c:v>
                </c:pt>
                <c:pt idx="12">
                  <c:v>1183</c:v>
                </c:pt>
                <c:pt idx="13">
                  <c:v>1183</c:v>
                </c:pt>
                <c:pt idx="14">
                  <c:v>1182</c:v>
                </c:pt>
                <c:pt idx="15">
                  <c:v>1182</c:v>
                </c:pt>
                <c:pt idx="16">
                  <c:v>1178</c:v>
                </c:pt>
                <c:pt idx="17">
                  <c:v>1180</c:v>
                </c:pt>
                <c:pt idx="18">
                  <c:v>1181</c:v>
                </c:pt>
                <c:pt idx="19">
                  <c:v>1182</c:v>
                </c:pt>
                <c:pt idx="20">
                  <c:v>1178</c:v>
                </c:pt>
                <c:pt idx="21">
                  <c:v>1180</c:v>
                </c:pt>
                <c:pt idx="22">
                  <c:v>1181</c:v>
                </c:pt>
                <c:pt idx="23">
                  <c:v>1179</c:v>
                </c:pt>
                <c:pt idx="24">
                  <c:v>1178</c:v>
                </c:pt>
                <c:pt idx="25">
                  <c:v>1176</c:v>
                </c:pt>
                <c:pt idx="26">
                  <c:v>1171</c:v>
                </c:pt>
                <c:pt idx="27">
                  <c:v>1167</c:v>
                </c:pt>
                <c:pt idx="28">
                  <c:v>1169</c:v>
                </c:pt>
                <c:pt idx="29">
                  <c:v>1166</c:v>
                </c:pt>
                <c:pt idx="30">
                  <c:v>1161</c:v>
                </c:pt>
                <c:pt idx="31">
                  <c:v>1161</c:v>
                </c:pt>
                <c:pt idx="32">
                  <c:v>1158</c:v>
                </c:pt>
                <c:pt idx="33">
                  <c:v>1157</c:v>
                </c:pt>
                <c:pt idx="34">
                  <c:v>1155</c:v>
                </c:pt>
                <c:pt idx="35">
                  <c:v>1170</c:v>
                </c:pt>
                <c:pt idx="36">
                  <c:v>1173</c:v>
                </c:pt>
                <c:pt idx="37">
                  <c:v>1175</c:v>
                </c:pt>
                <c:pt idx="38">
                  <c:v>1174</c:v>
                </c:pt>
                <c:pt idx="39">
                  <c:v>1179</c:v>
                </c:pt>
                <c:pt idx="40">
                  <c:v>1183</c:v>
                </c:pt>
                <c:pt idx="41">
                  <c:v>1184</c:v>
                </c:pt>
                <c:pt idx="42">
                  <c:v>1186</c:v>
                </c:pt>
                <c:pt idx="43">
                  <c:v>1190</c:v>
                </c:pt>
                <c:pt idx="44">
                  <c:v>1191</c:v>
                </c:pt>
                <c:pt idx="45">
                  <c:v>1194</c:v>
                </c:pt>
                <c:pt idx="46">
                  <c:v>1196</c:v>
                </c:pt>
                <c:pt idx="47">
                  <c:v>1196</c:v>
                </c:pt>
                <c:pt idx="48">
                  <c:v>1184</c:v>
                </c:pt>
                <c:pt idx="49">
                  <c:v>1182</c:v>
                </c:pt>
                <c:pt idx="50">
                  <c:v>1184</c:v>
                </c:pt>
                <c:pt idx="51">
                  <c:v>1187</c:v>
                </c:pt>
                <c:pt idx="52">
                  <c:v>1188</c:v>
                </c:pt>
                <c:pt idx="53">
                  <c:v>1187</c:v>
                </c:pt>
                <c:pt idx="54">
                  <c:v>1187</c:v>
                </c:pt>
                <c:pt idx="55">
                  <c:v>1189</c:v>
                </c:pt>
                <c:pt idx="56">
                  <c:v>1189</c:v>
                </c:pt>
                <c:pt idx="57">
                  <c:v>1186</c:v>
                </c:pt>
                <c:pt idx="58">
                  <c:v>1186</c:v>
                </c:pt>
                <c:pt idx="59">
                  <c:v>1186</c:v>
                </c:pt>
                <c:pt idx="60">
                  <c:v>1184</c:v>
                </c:pt>
                <c:pt idx="61">
                  <c:v>1184</c:v>
                </c:pt>
                <c:pt idx="62">
                  <c:v>1180</c:v>
                </c:pt>
                <c:pt idx="63">
                  <c:v>1180</c:v>
                </c:pt>
                <c:pt idx="64">
                  <c:v>1145</c:v>
                </c:pt>
                <c:pt idx="65">
                  <c:v>1148</c:v>
                </c:pt>
                <c:pt idx="66">
                  <c:v>1151</c:v>
                </c:pt>
                <c:pt idx="67">
                  <c:v>1155</c:v>
                </c:pt>
                <c:pt idx="68">
                  <c:v>1150</c:v>
                </c:pt>
                <c:pt idx="69">
                  <c:v>1151</c:v>
                </c:pt>
                <c:pt idx="70">
                  <c:v>1150</c:v>
                </c:pt>
                <c:pt idx="71">
                  <c:v>1150</c:v>
                </c:pt>
                <c:pt idx="72">
                  <c:v>1150</c:v>
                </c:pt>
                <c:pt idx="73">
                  <c:v>1148</c:v>
                </c:pt>
                <c:pt idx="74">
                  <c:v>1147</c:v>
                </c:pt>
                <c:pt idx="75">
                  <c:v>1148</c:v>
                </c:pt>
                <c:pt idx="76">
                  <c:v>1153</c:v>
                </c:pt>
                <c:pt idx="77">
                  <c:v>1153</c:v>
                </c:pt>
                <c:pt idx="78">
                  <c:v>1153</c:v>
                </c:pt>
                <c:pt idx="79">
                  <c:v>1157</c:v>
                </c:pt>
                <c:pt idx="80">
                  <c:v>1151</c:v>
                </c:pt>
                <c:pt idx="81">
                  <c:v>1150</c:v>
                </c:pt>
                <c:pt idx="82">
                  <c:v>1153</c:v>
                </c:pt>
                <c:pt idx="83">
                  <c:v>1155</c:v>
                </c:pt>
                <c:pt idx="84">
                  <c:v>1157</c:v>
                </c:pt>
                <c:pt idx="85">
                  <c:v>1158</c:v>
                </c:pt>
                <c:pt idx="86">
                  <c:v>1157</c:v>
                </c:pt>
                <c:pt idx="87">
                  <c:v>1154</c:v>
                </c:pt>
                <c:pt idx="88">
                  <c:v>1149</c:v>
                </c:pt>
                <c:pt idx="89">
                  <c:v>1150</c:v>
                </c:pt>
              </c:numCache>
            </c:numRef>
          </c:val>
          <c:smooth val="0"/>
          <c:extLst>
            <c:ext xmlns:c16="http://schemas.microsoft.com/office/drawing/2014/chart" uri="{C3380CC4-5D6E-409C-BE32-E72D297353CC}">
              <c16:uniqueId val="{00000003-8FF7-4A64-B35F-1D0F2BA77298}"/>
            </c:ext>
          </c:extLst>
        </c:ser>
        <c:ser>
          <c:idx val="4"/>
          <c:order val="3"/>
          <c:tx>
            <c:strRef>
              <c:f>トリガー発注!$J$50</c:f>
              <c:strCache>
                <c:ptCount val="1"/>
                <c:pt idx="0">
                  <c:v>終値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トリガー発注!$J$51:$J$140</c:f>
              <c:numCache>
                <c:formatCode>#,##0</c:formatCode>
                <c:ptCount val="90"/>
                <c:pt idx="0">
                  <c:v>1189</c:v>
                </c:pt>
                <c:pt idx="1">
                  <c:v>1188</c:v>
                </c:pt>
                <c:pt idx="2">
                  <c:v>1188</c:v>
                </c:pt>
                <c:pt idx="3">
                  <c:v>1193</c:v>
                </c:pt>
                <c:pt idx="4">
                  <c:v>1191</c:v>
                </c:pt>
                <c:pt idx="5">
                  <c:v>1190</c:v>
                </c:pt>
                <c:pt idx="6">
                  <c:v>1192</c:v>
                </c:pt>
                <c:pt idx="7">
                  <c:v>1190</c:v>
                </c:pt>
                <c:pt idx="8">
                  <c:v>1191</c:v>
                </c:pt>
                <c:pt idx="9">
                  <c:v>1191</c:v>
                </c:pt>
                <c:pt idx="10">
                  <c:v>1189</c:v>
                </c:pt>
                <c:pt idx="11">
                  <c:v>1183</c:v>
                </c:pt>
                <c:pt idx="12">
                  <c:v>1184</c:v>
                </c:pt>
                <c:pt idx="13">
                  <c:v>1184</c:v>
                </c:pt>
                <c:pt idx="14">
                  <c:v>1183</c:v>
                </c:pt>
                <c:pt idx="15">
                  <c:v>1182</c:v>
                </c:pt>
                <c:pt idx="16">
                  <c:v>1180</c:v>
                </c:pt>
                <c:pt idx="17">
                  <c:v>1182</c:v>
                </c:pt>
                <c:pt idx="18">
                  <c:v>1184</c:v>
                </c:pt>
                <c:pt idx="19">
                  <c:v>1183</c:v>
                </c:pt>
                <c:pt idx="20">
                  <c:v>1181</c:v>
                </c:pt>
                <c:pt idx="21">
                  <c:v>1181</c:v>
                </c:pt>
                <c:pt idx="22">
                  <c:v>1182</c:v>
                </c:pt>
                <c:pt idx="23">
                  <c:v>1179</c:v>
                </c:pt>
                <c:pt idx="24">
                  <c:v>1179</c:v>
                </c:pt>
                <c:pt idx="25">
                  <c:v>1176</c:v>
                </c:pt>
                <c:pt idx="26">
                  <c:v>1172</c:v>
                </c:pt>
                <c:pt idx="27">
                  <c:v>1170</c:v>
                </c:pt>
                <c:pt idx="28">
                  <c:v>1172</c:v>
                </c:pt>
                <c:pt idx="29">
                  <c:v>1167</c:v>
                </c:pt>
                <c:pt idx="30">
                  <c:v>1161</c:v>
                </c:pt>
                <c:pt idx="31">
                  <c:v>1161</c:v>
                </c:pt>
                <c:pt idx="32">
                  <c:v>1166</c:v>
                </c:pt>
                <c:pt idx="33">
                  <c:v>1159</c:v>
                </c:pt>
                <c:pt idx="34">
                  <c:v>1170</c:v>
                </c:pt>
                <c:pt idx="35">
                  <c:v>1174</c:v>
                </c:pt>
                <c:pt idx="36">
                  <c:v>1180</c:v>
                </c:pt>
                <c:pt idx="37">
                  <c:v>1177</c:v>
                </c:pt>
                <c:pt idx="38">
                  <c:v>1179</c:v>
                </c:pt>
                <c:pt idx="39">
                  <c:v>1184</c:v>
                </c:pt>
                <c:pt idx="40">
                  <c:v>1185</c:v>
                </c:pt>
                <c:pt idx="41">
                  <c:v>1186</c:v>
                </c:pt>
                <c:pt idx="42">
                  <c:v>1190</c:v>
                </c:pt>
                <c:pt idx="43">
                  <c:v>1192</c:v>
                </c:pt>
                <c:pt idx="44">
                  <c:v>1196</c:v>
                </c:pt>
                <c:pt idx="45">
                  <c:v>1198</c:v>
                </c:pt>
                <c:pt idx="46">
                  <c:v>1197</c:v>
                </c:pt>
                <c:pt idx="47">
                  <c:v>1196</c:v>
                </c:pt>
                <c:pt idx="48">
                  <c:v>1185</c:v>
                </c:pt>
                <c:pt idx="49">
                  <c:v>1184</c:v>
                </c:pt>
                <c:pt idx="50">
                  <c:v>1188</c:v>
                </c:pt>
                <c:pt idx="51">
                  <c:v>1189</c:v>
                </c:pt>
                <c:pt idx="52">
                  <c:v>1191</c:v>
                </c:pt>
                <c:pt idx="53">
                  <c:v>1188</c:v>
                </c:pt>
                <c:pt idx="54">
                  <c:v>1192</c:v>
                </c:pt>
                <c:pt idx="55">
                  <c:v>1191</c:v>
                </c:pt>
                <c:pt idx="56">
                  <c:v>1191</c:v>
                </c:pt>
                <c:pt idx="57">
                  <c:v>1186</c:v>
                </c:pt>
                <c:pt idx="58">
                  <c:v>1187</c:v>
                </c:pt>
                <c:pt idx="59">
                  <c:v>1189</c:v>
                </c:pt>
                <c:pt idx="60">
                  <c:v>1188</c:v>
                </c:pt>
                <c:pt idx="61">
                  <c:v>1185</c:v>
                </c:pt>
                <c:pt idx="62">
                  <c:v>1182</c:v>
                </c:pt>
                <c:pt idx="63">
                  <c:v>1180</c:v>
                </c:pt>
                <c:pt idx="64">
                  <c:v>1153</c:v>
                </c:pt>
                <c:pt idx="65">
                  <c:v>1154</c:v>
                </c:pt>
                <c:pt idx="66">
                  <c:v>1160</c:v>
                </c:pt>
                <c:pt idx="67">
                  <c:v>1157</c:v>
                </c:pt>
                <c:pt idx="68">
                  <c:v>1152</c:v>
                </c:pt>
                <c:pt idx="69">
                  <c:v>1153</c:v>
                </c:pt>
                <c:pt idx="70">
                  <c:v>1152</c:v>
                </c:pt>
                <c:pt idx="71">
                  <c:v>1151</c:v>
                </c:pt>
                <c:pt idx="72">
                  <c:v>1151</c:v>
                </c:pt>
                <c:pt idx="73">
                  <c:v>1149</c:v>
                </c:pt>
                <c:pt idx="74">
                  <c:v>1148</c:v>
                </c:pt>
                <c:pt idx="75">
                  <c:v>1156</c:v>
                </c:pt>
                <c:pt idx="76">
                  <c:v>1153</c:v>
                </c:pt>
                <c:pt idx="77">
                  <c:v>1154</c:v>
                </c:pt>
                <c:pt idx="78">
                  <c:v>1154</c:v>
                </c:pt>
                <c:pt idx="79">
                  <c:v>1157</c:v>
                </c:pt>
                <c:pt idx="80">
                  <c:v>1152</c:v>
                </c:pt>
                <c:pt idx="81">
                  <c:v>1154</c:v>
                </c:pt>
                <c:pt idx="82">
                  <c:v>1154</c:v>
                </c:pt>
                <c:pt idx="83">
                  <c:v>1158</c:v>
                </c:pt>
                <c:pt idx="84">
                  <c:v>1159</c:v>
                </c:pt>
                <c:pt idx="85">
                  <c:v>1160</c:v>
                </c:pt>
                <c:pt idx="86">
                  <c:v>1158</c:v>
                </c:pt>
                <c:pt idx="87">
                  <c:v>1154</c:v>
                </c:pt>
                <c:pt idx="88">
                  <c:v>1151</c:v>
                </c:pt>
                <c:pt idx="89">
                  <c:v>1152</c:v>
                </c:pt>
              </c:numCache>
            </c:numRef>
          </c:val>
          <c:smooth val="0"/>
          <c:extLst>
            <c:ext xmlns:c16="http://schemas.microsoft.com/office/drawing/2014/chart" uri="{C3380CC4-5D6E-409C-BE32-E72D297353CC}">
              <c16:uniqueId val="{00000004-8FF7-4A64-B35F-1D0F2BA77298}"/>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53495808"/>
        <c:axId val="153493888"/>
      </c:stockChart>
      <c:stockChart>
        <c:ser>
          <c:idx val="0"/>
          <c:order val="4"/>
          <c:tx>
            <c:strRef>
              <c:f>トリガー発注!$K$50</c:f>
              <c:strCache>
                <c:ptCount val="1"/>
                <c:pt idx="0">
                  <c:v>移動平均1</c:v>
                </c:pt>
              </c:strCache>
            </c:strRef>
          </c:tx>
          <c:spPr>
            <a:ln w="25400" cap="rnd">
              <a:solidFill>
                <a:schemeClr val="accent2">
                  <a:lumMod val="60000"/>
                  <a:lumOff val="40000"/>
                </a:schemeClr>
              </a:solid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トリガー発注!$K$51:$K$140</c:f>
              <c:numCache>
                <c:formatCode>0.0</c:formatCode>
                <c:ptCount val="90"/>
                <c:pt idx="0">
                  <c:v>1182.8</c:v>
                </c:pt>
                <c:pt idx="1">
                  <c:v>1182.9000000000001</c:v>
                </c:pt>
                <c:pt idx="2">
                  <c:v>1183.2</c:v>
                </c:pt>
                <c:pt idx="3">
                  <c:v>1184</c:v>
                </c:pt>
                <c:pt idx="4">
                  <c:v>1185.2</c:v>
                </c:pt>
                <c:pt idx="5">
                  <c:v>1186.3</c:v>
                </c:pt>
                <c:pt idx="6">
                  <c:v>1187.5999999999999</c:v>
                </c:pt>
                <c:pt idx="7">
                  <c:v>1188.3</c:v>
                </c:pt>
                <c:pt idx="8">
                  <c:v>1189.4000000000001</c:v>
                </c:pt>
                <c:pt idx="9">
                  <c:v>1190.3</c:v>
                </c:pt>
                <c:pt idx="10">
                  <c:v>1190.3</c:v>
                </c:pt>
                <c:pt idx="11">
                  <c:v>1189.8</c:v>
                </c:pt>
                <c:pt idx="12">
                  <c:v>1189.4000000000001</c:v>
                </c:pt>
                <c:pt idx="13">
                  <c:v>1188.5</c:v>
                </c:pt>
                <c:pt idx="14">
                  <c:v>1187.7</c:v>
                </c:pt>
                <c:pt idx="15">
                  <c:v>1186.9000000000001</c:v>
                </c:pt>
                <c:pt idx="16">
                  <c:v>1185.7</c:v>
                </c:pt>
                <c:pt idx="17">
                  <c:v>1184.9000000000001</c:v>
                </c:pt>
                <c:pt idx="18">
                  <c:v>1184.2</c:v>
                </c:pt>
                <c:pt idx="19">
                  <c:v>1183.4000000000001</c:v>
                </c:pt>
                <c:pt idx="20">
                  <c:v>1182.5999999999999</c:v>
                </c:pt>
                <c:pt idx="21">
                  <c:v>1182.4000000000001</c:v>
                </c:pt>
                <c:pt idx="22">
                  <c:v>1182.2</c:v>
                </c:pt>
                <c:pt idx="23">
                  <c:v>1181.7</c:v>
                </c:pt>
                <c:pt idx="24">
                  <c:v>1181.3</c:v>
                </c:pt>
                <c:pt idx="25">
                  <c:v>1180.7</c:v>
                </c:pt>
                <c:pt idx="26">
                  <c:v>1179.9000000000001</c:v>
                </c:pt>
                <c:pt idx="27">
                  <c:v>1178.7</c:v>
                </c:pt>
                <c:pt idx="28">
                  <c:v>1177.5</c:v>
                </c:pt>
                <c:pt idx="29">
                  <c:v>1175.9000000000001</c:v>
                </c:pt>
                <c:pt idx="30">
                  <c:v>1173.9000000000001</c:v>
                </c:pt>
                <c:pt idx="31">
                  <c:v>1171.9000000000001</c:v>
                </c:pt>
                <c:pt idx="32">
                  <c:v>1170.3</c:v>
                </c:pt>
                <c:pt idx="33">
                  <c:v>1168.3</c:v>
                </c:pt>
                <c:pt idx="34">
                  <c:v>1167.4000000000001</c:v>
                </c:pt>
                <c:pt idx="35">
                  <c:v>1167.2</c:v>
                </c:pt>
                <c:pt idx="36">
                  <c:v>1168</c:v>
                </c:pt>
                <c:pt idx="37">
                  <c:v>1168.7</c:v>
                </c:pt>
                <c:pt idx="38">
                  <c:v>1169.4000000000001</c:v>
                </c:pt>
                <c:pt idx="39">
                  <c:v>1171.0999999999999</c:v>
                </c:pt>
                <c:pt idx="40">
                  <c:v>1173.5</c:v>
                </c:pt>
                <c:pt idx="41">
                  <c:v>1176</c:v>
                </c:pt>
                <c:pt idx="42">
                  <c:v>1178.4000000000001</c:v>
                </c:pt>
                <c:pt idx="43">
                  <c:v>1181.7</c:v>
                </c:pt>
                <c:pt idx="44">
                  <c:v>1184.3</c:v>
                </c:pt>
                <c:pt idx="45">
                  <c:v>1186.7</c:v>
                </c:pt>
                <c:pt idx="46">
                  <c:v>1188.4000000000001</c:v>
                </c:pt>
                <c:pt idx="47">
                  <c:v>1190.3</c:v>
                </c:pt>
                <c:pt idx="48">
                  <c:v>1190.9000000000001</c:v>
                </c:pt>
                <c:pt idx="49">
                  <c:v>1190.9000000000001</c:v>
                </c:pt>
                <c:pt idx="50">
                  <c:v>1191.2</c:v>
                </c:pt>
                <c:pt idx="51">
                  <c:v>1191.5</c:v>
                </c:pt>
                <c:pt idx="52">
                  <c:v>1191.5999999999999</c:v>
                </c:pt>
                <c:pt idx="53">
                  <c:v>1191.2</c:v>
                </c:pt>
                <c:pt idx="54">
                  <c:v>1190.8</c:v>
                </c:pt>
                <c:pt idx="55">
                  <c:v>1190.0999999999999</c:v>
                </c:pt>
                <c:pt idx="56">
                  <c:v>1189.5</c:v>
                </c:pt>
                <c:pt idx="57">
                  <c:v>1188.5</c:v>
                </c:pt>
                <c:pt idx="58">
                  <c:v>1188.7</c:v>
                </c:pt>
                <c:pt idx="59">
                  <c:v>1189.2</c:v>
                </c:pt>
                <c:pt idx="60">
                  <c:v>1189.2</c:v>
                </c:pt>
                <c:pt idx="61">
                  <c:v>1188.8</c:v>
                </c:pt>
                <c:pt idx="62">
                  <c:v>1187.9000000000001</c:v>
                </c:pt>
                <c:pt idx="63">
                  <c:v>1187.0999999999999</c:v>
                </c:pt>
                <c:pt idx="64">
                  <c:v>1183.2</c:v>
                </c:pt>
                <c:pt idx="65">
                  <c:v>1179.5</c:v>
                </c:pt>
                <c:pt idx="66">
                  <c:v>1176.4000000000001</c:v>
                </c:pt>
                <c:pt idx="67">
                  <c:v>1173.5</c:v>
                </c:pt>
                <c:pt idx="68">
                  <c:v>1170</c:v>
                </c:pt>
                <c:pt idx="69">
                  <c:v>1166.4000000000001</c:v>
                </c:pt>
                <c:pt idx="70">
                  <c:v>1162.8</c:v>
                </c:pt>
                <c:pt idx="71">
                  <c:v>1159.4000000000001</c:v>
                </c:pt>
                <c:pt idx="72">
                  <c:v>1156.3</c:v>
                </c:pt>
                <c:pt idx="73">
                  <c:v>1153.2</c:v>
                </c:pt>
                <c:pt idx="74">
                  <c:v>1152.7</c:v>
                </c:pt>
                <c:pt idx="75">
                  <c:v>1152.9000000000001</c:v>
                </c:pt>
                <c:pt idx="76">
                  <c:v>1152.2</c:v>
                </c:pt>
                <c:pt idx="77">
                  <c:v>1151.9000000000001</c:v>
                </c:pt>
                <c:pt idx="78">
                  <c:v>1152.0999999999999</c:v>
                </c:pt>
                <c:pt idx="79">
                  <c:v>1152.5</c:v>
                </c:pt>
                <c:pt idx="80">
                  <c:v>1152.5</c:v>
                </c:pt>
                <c:pt idx="81">
                  <c:v>1152.8</c:v>
                </c:pt>
                <c:pt idx="82">
                  <c:v>1153.0999999999999</c:v>
                </c:pt>
                <c:pt idx="83">
                  <c:v>1154</c:v>
                </c:pt>
                <c:pt idx="84">
                  <c:v>1155.0999999999999</c:v>
                </c:pt>
                <c:pt idx="85">
                  <c:v>1155.5</c:v>
                </c:pt>
                <c:pt idx="86">
                  <c:v>1156</c:v>
                </c:pt>
                <c:pt idx="87">
                  <c:v>1156</c:v>
                </c:pt>
                <c:pt idx="88">
                  <c:v>1155.7</c:v>
                </c:pt>
                <c:pt idx="89">
                  <c:v>1155.2</c:v>
                </c:pt>
              </c:numCache>
            </c:numRef>
          </c:val>
          <c:smooth val="0"/>
          <c:extLst>
            <c:ext xmlns:c16="http://schemas.microsoft.com/office/drawing/2014/chart" uri="{C3380CC4-5D6E-409C-BE32-E72D297353CC}">
              <c16:uniqueId val="{00000000-9C78-4F70-AA9E-6BC238F8A4AD}"/>
            </c:ext>
          </c:extLst>
        </c:ser>
        <c:ser>
          <c:idx val="5"/>
          <c:order val="5"/>
          <c:tx>
            <c:strRef>
              <c:f>トリガー発注!$L$50</c:f>
              <c:strCache>
                <c:ptCount val="1"/>
                <c:pt idx="0">
                  <c:v>移動平均2</c:v>
                </c:pt>
              </c:strCache>
            </c:strRef>
          </c:tx>
          <c:spPr>
            <a:ln w="25400" cap="rnd">
              <a:solidFill>
                <a:schemeClr val="accent1"/>
              </a:solid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トリガー発注!$L$51:$L$140</c:f>
              <c:numCache>
                <c:formatCode>0.0</c:formatCode>
                <c:ptCount val="90"/>
                <c:pt idx="0">
                  <c:v>1190.8</c:v>
                </c:pt>
                <c:pt idx="1">
                  <c:v>1190.5999999999999</c:v>
                </c:pt>
                <c:pt idx="2">
                  <c:v>1190.4000000000001</c:v>
                </c:pt>
                <c:pt idx="3">
                  <c:v>1190.4000000000001</c:v>
                </c:pt>
                <c:pt idx="4">
                  <c:v>1190</c:v>
                </c:pt>
                <c:pt idx="5">
                  <c:v>1189.8</c:v>
                </c:pt>
                <c:pt idx="6">
                  <c:v>1189.4000000000001</c:v>
                </c:pt>
                <c:pt idx="7">
                  <c:v>1189</c:v>
                </c:pt>
                <c:pt idx="8">
                  <c:v>1188.5999999999999</c:v>
                </c:pt>
                <c:pt idx="9">
                  <c:v>1188.5999999999999</c:v>
                </c:pt>
                <c:pt idx="10">
                  <c:v>1188.3</c:v>
                </c:pt>
                <c:pt idx="11">
                  <c:v>1187.8</c:v>
                </c:pt>
                <c:pt idx="12">
                  <c:v>1187.2</c:v>
                </c:pt>
                <c:pt idx="13">
                  <c:v>1186.8</c:v>
                </c:pt>
                <c:pt idx="14">
                  <c:v>1186.2</c:v>
                </c:pt>
                <c:pt idx="15">
                  <c:v>1185.9000000000001</c:v>
                </c:pt>
                <c:pt idx="16">
                  <c:v>1185.5999999999999</c:v>
                </c:pt>
                <c:pt idx="17">
                  <c:v>1185.5</c:v>
                </c:pt>
                <c:pt idx="18">
                  <c:v>1185.4000000000001</c:v>
                </c:pt>
                <c:pt idx="19">
                  <c:v>1185.5999999999999</c:v>
                </c:pt>
                <c:pt idx="20">
                  <c:v>1185.7</c:v>
                </c:pt>
                <c:pt idx="21">
                  <c:v>1185.8</c:v>
                </c:pt>
                <c:pt idx="22">
                  <c:v>1185.7</c:v>
                </c:pt>
                <c:pt idx="23">
                  <c:v>1185.7</c:v>
                </c:pt>
                <c:pt idx="24">
                  <c:v>1185.5999999999999</c:v>
                </c:pt>
                <c:pt idx="25">
                  <c:v>1185</c:v>
                </c:pt>
                <c:pt idx="26">
                  <c:v>1184.4000000000001</c:v>
                </c:pt>
                <c:pt idx="27">
                  <c:v>1183.7</c:v>
                </c:pt>
                <c:pt idx="28">
                  <c:v>1182.8</c:v>
                </c:pt>
                <c:pt idx="29">
                  <c:v>1181.9000000000001</c:v>
                </c:pt>
                <c:pt idx="30">
                  <c:v>1180.7</c:v>
                </c:pt>
                <c:pt idx="31">
                  <c:v>1179.5</c:v>
                </c:pt>
                <c:pt idx="32">
                  <c:v>1178.5</c:v>
                </c:pt>
                <c:pt idx="33">
                  <c:v>1177.2</c:v>
                </c:pt>
                <c:pt idx="34">
                  <c:v>1176.4000000000001</c:v>
                </c:pt>
                <c:pt idx="35">
                  <c:v>1175.8</c:v>
                </c:pt>
                <c:pt idx="36">
                  <c:v>1175.7</c:v>
                </c:pt>
                <c:pt idx="37">
                  <c:v>1175.4000000000001</c:v>
                </c:pt>
                <c:pt idx="38">
                  <c:v>1175.2</c:v>
                </c:pt>
                <c:pt idx="39">
                  <c:v>1175.2</c:v>
                </c:pt>
                <c:pt idx="40">
                  <c:v>1175.4000000000001</c:v>
                </c:pt>
                <c:pt idx="41">
                  <c:v>1175.5999999999999</c:v>
                </c:pt>
                <c:pt idx="42">
                  <c:v>1175.9000000000001</c:v>
                </c:pt>
                <c:pt idx="43">
                  <c:v>1176.2</c:v>
                </c:pt>
                <c:pt idx="44">
                  <c:v>1176.8</c:v>
                </c:pt>
                <c:pt idx="45">
                  <c:v>1177.4000000000001</c:v>
                </c:pt>
                <c:pt idx="46">
                  <c:v>1178.0999999999999</c:v>
                </c:pt>
                <c:pt idx="47">
                  <c:v>1178.5999999999999</c:v>
                </c:pt>
                <c:pt idx="48">
                  <c:v>1178.9000000000001</c:v>
                </c:pt>
                <c:pt idx="49">
                  <c:v>1179.0999999999999</c:v>
                </c:pt>
                <c:pt idx="50">
                  <c:v>1179.5999999999999</c:v>
                </c:pt>
                <c:pt idx="51">
                  <c:v>1180.2</c:v>
                </c:pt>
                <c:pt idx="52">
                  <c:v>1181.0999999999999</c:v>
                </c:pt>
                <c:pt idx="53">
                  <c:v>1181.7</c:v>
                </c:pt>
                <c:pt idx="54">
                  <c:v>1182.7</c:v>
                </c:pt>
                <c:pt idx="55">
                  <c:v>1183.9000000000001</c:v>
                </c:pt>
                <c:pt idx="56">
                  <c:v>1185.0999999999999</c:v>
                </c:pt>
                <c:pt idx="57">
                  <c:v>1185.9000000000001</c:v>
                </c:pt>
                <c:pt idx="58">
                  <c:v>1187</c:v>
                </c:pt>
                <c:pt idx="59">
                  <c:v>1187.8</c:v>
                </c:pt>
                <c:pt idx="60">
                  <c:v>1188.4000000000001</c:v>
                </c:pt>
                <c:pt idx="61">
                  <c:v>1188.5999999999999</c:v>
                </c:pt>
                <c:pt idx="62">
                  <c:v>1188.8</c:v>
                </c:pt>
                <c:pt idx="63">
                  <c:v>1188.8</c:v>
                </c:pt>
                <c:pt idx="64">
                  <c:v>1187.5999999999999</c:v>
                </c:pt>
                <c:pt idx="65">
                  <c:v>1186.3</c:v>
                </c:pt>
                <c:pt idx="66">
                  <c:v>1185.3</c:v>
                </c:pt>
                <c:pt idx="67">
                  <c:v>1184</c:v>
                </c:pt>
                <c:pt idx="68">
                  <c:v>1182.4000000000001</c:v>
                </c:pt>
                <c:pt idx="69">
                  <c:v>1180.5999999999999</c:v>
                </c:pt>
                <c:pt idx="70">
                  <c:v>1178.8</c:v>
                </c:pt>
                <c:pt idx="71">
                  <c:v>1177</c:v>
                </c:pt>
                <c:pt idx="72">
                  <c:v>1175.2</c:v>
                </c:pt>
                <c:pt idx="73">
                  <c:v>1173.7</c:v>
                </c:pt>
                <c:pt idx="74">
                  <c:v>1172.3</c:v>
                </c:pt>
                <c:pt idx="75">
                  <c:v>1171</c:v>
                </c:pt>
                <c:pt idx="76">
                  <c:v>1169.5999999999999</c:v>
                </c:pt>
                <c:pt idx="77">
                  <c:v>1168.0999999999999</c:v>
                </c:pt>
                <c:pt idx="78">
                  <c:v>1166.7</c:v>
                </c:pt>
                <c:pt idx="79">
                  <c:v>1165.3</c:v>
                </c:pt>
                <c:pt idx="80">
                  <c:v>1163.8</c:v>
                </c:pt>
                <c:pt idx="81">
                  <c:v>1162.3</c:v>
                </c:pt>
                <c:pt idx="82">
                  <c:v>1161</c:v>
                </c:pt>
                <c:pt idx="83">
                  <c:v>1159.8</c:v>
                </c:pt>
                <c:pt idx="84">
                  <c:v>1158.5999999999999</c:v>
                </c:pt>
                <c:pt idx="85">
                  <c:v>1157.5</c:v>
                </c:pt>
                <c:pt idx="86">
                  <c:v>1156.4000000000001</c:v>
                </c:pt>
                <c:pt idx="87">
                  <c:v>1155.3</c:v>
                </c:pt>
                <c:pt idx="88">
                  <c:v>1154.2</c:v>
                </c:pt>
                <c:pt idx="89">
                  <c:v>1154.0999999999999</c:v>
                </c:pt>
              </c:numCache>
            </c:numRef>
          </c:val>
          <c:smooth val="0"/>
          <c:extLst>
            <c:ext xmlns:c16="http://schemas.microsoft.com/office/drawing/2014/chart" uri="{C3380CC4-5D6E-409C-BE32-E72D297353CC}">
              <c16:uniqueId val="{00000001-9C78-4F70-AA9E-6BC238F8A4AD}"/>
            </c:ext>
          </c:extLst>
        </c:ser>
        <c:dLbls>
          <c:showLegendKey val="0"/>
          <c:showVal val="0"/>
          <c:showCatName val="0"/>
          <c:showSerName val="0"/>
          <c:showPercent val="0"/>
          <c:showBubbleSize val="0"/>
        </c:dLbls>
        <c:axId val="810033880"/>
        <c:axId val="810042080"/>
      </c:stockChart>
      <c:valAx>
        <c:axId val="153493888"/>
        <c:scaling>
          <c:orientation val="minMax"/>
        </c:scaling>
        <c:delete val="0"/>
        <c:axPos val="l"/>
        <c:majorGridlines>
          <c:spPr>
            <a:ln w="9525" cap="flat" cmpd="sng" algn="ctr">
              <a:solidFill>
                <a:schemeClr val="bg1">
                  <a:lumMod val="50000"/>
                </a:schemeClr>
              </a:solidFill>
              <a:prstDash val="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5808"/>
        <c:crosses val="autoZero"/>
        <c:crossBetween val="between"/>
      </c:valAx>
      <c:catAx>
        <c:axId val="153495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3888"/>
        <c:crosses val="autoZero"/>
        <c:auto val="0"/>
        <c:lblAlgn val="ctr"/>
        <c:lblOffset val="100"/>
        <c:noMultiLvlLbl val="1"/>
      </c:catAx>
      <c:valAx>
        <c:axId val="810042080"/>
        <c:scaling>
          <c:orientation val="minMax"/>
        </c:scaling>
        <c:delete val="0"/>
        <c:axPos val="l"/>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10033880"/>
        <c:crosses val="autoZero"/>
        <c:crossBetween val="between"/>
      </c:valAx>
      <c:catAx>
        <c:axId val="810033880"/>
        <c:scaling>
          <c:orientation val="minMax"/>
        </c:scaling>
        <c:delete val="1"/>
        <c:axPos val="b"/>
        <c:numFmt formatCode="General" sourceLinked="1"/>
        <c:majorTickMark val="out"/>
        <c:minorTickMark val="none"/>
        <c:tickLblPos val="nextTo"/>
        <c:crossAx val="810042080"/>
        <c:crosses val="autoZero"/>
        <c:auto val="0"/>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832817850697917E-2"/>
          <c:y val="9.1397870567007003E-2"/>
          <c:w val="0.91282968318808966"/>
          <c:h val="0.61949044869354042"/>
        </c:manualLayout>
      </c:layout>
      <c:barChart>
        <c:barDir val="col"/>
        <c:grouping val="clustered"/>
        <c:varyColors val="0"/>
        <c:ser>
          <c:idx val="0"/>
          <c:order val="0"/>
          <c:tx>
            <c:strRef>
              <c:f>トリガー発注!$F$50</c:f>
              <c:strCache>
                <c:ptCount val="1"/>
                <c:pt idx="0">
                  <c:v>出来高</c:v>
                </c:pt>
              </c:strCache>
            </c:strRef>
          </c:tx>
          <c:spPr>
            <a:solidFill>
              <a:schemeClr val="accent1"/>
            </a:solidFill>
            <a:ln>
              <a:noFill/>
            </a:ln>
            <a:effectLst/>
          </c:spPr>
          <c:invertIfNegative val="0"/>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トリガー発注!$F$51:$F$140</c:f>
              <c:numCache>
                <c:formatCode>#,##0</c:formatCode>
                <c:ptCount val="90"/>
                <c:pt idx="0">
                  <c:v>578900</c:v>
                </c:pt>
                <c:pt idx="1">
                  <c:v>226700</c:v>
                </c:pt>
                <c:pt idx="2">
                  <c:v>174200</c:v>
                </c:pt>
                <c:pt idx="3">
                  <c:v>135900</c:v>
                </c:pt>
                <c:pt idx="4">
                  <c:v>87600</c:v>
                </c:pt>
                <c:pt idx="5">
                  <c:v>109700</c:v>
                </c:pt>
                <c:pt idx="6">
                  <c:v>40900</c:v>
                </c:pt>
                <c:pt idx="7">
                  <c:v>50200</c:v>
                </c:pt>
                <c:pt idx="8">
                  <c:v>124800</c:v>
                </c:pt>
                <c:pt idx="9">
                  <c:v>68500</c:v>
                </c:pt>
                <c:pt idx="10">
                  <c:v>47800</c:v>
                </c:pt>
                <c:pt idx="11">
                  <c:v>112300</c:v>
                </c:pt>
                <c:pt idx="12">
                  <c:v>94900</c:v>
                </c:pt>
                <c:pt idx="13">
                  <c:v>63500</c:v>
                </c:pt>
                <c:pt idx="14">
                  <c:v>70500</c:v>
                </c:pt>
                <c:pt idx="15">
                  <c:v>14100</c:v>
                </c:pt>
                <c:pt idx="16">
                  <c:v>214600</c:v>
                </c:pt>
                <c:pt idx="17">
                  <c:v>35300</c:v>
                </c:pt>
                <c:pt idx="18">
                  <c:v>34900</c:v>
                </c:pt>
                <c:pt idx="19">
                  <c:v>34900</c:v>
                </c:pt>
                <c:pt idx="20">
                  <c:v>111300</c:v>
                </c:pt>
                <c:pt idx="21">
                  <c:v>46300</c:v>
                </c:pt>
                <c:pt idx="22">
                  <c:v>20100</c:v>
                </c:pt>
                <c:pt idx="23">
                  <c:v>56400</c:v>
                </c:pt>
                <c:pt idx="24">
                  <c:v>39200</c:v>
                </c:pt>
                <c:pt idx="25">
                  <c:v>106400</c:v>
                </c:pt>
                <c:pt idx="26">
                  <c:v>292300</c:v>
                </c:pt>
                <c:pt idx="27">
                  <c:v>525400</c:v>
                </c:pt>
                <c:pt idx="28">
                  <c:v>286400</c:v>
                </c:pt>
                <c:pt idx="29">
                  <c:v>328200</c:v>
                </c:pt>
                <c:pt idx="30">
                  <c:v>376400</c:v>
                </c:pt>
                <c:pt idx="31">
                  <c:v>1960100</c:v>
                </c:pt>
                <c:pt idx="32">
                  <c:v>565900</c:v>
                </c:pt>
                <c:pt idx="33">
                  <c:v>349900</c:v>
                </c:pt>
                <c:pt idx="34">
                  <c:v>308900</c:v>
                </c:pt>
                <c:pt idx="35">
                  <c:v>202900</c:v>
                </c:pt>
                <c:pt idx="36">
                  <c:v>207400</c:v>
                </c:pt>
                <c:pt idx="37">
                  <c:v>159700</c:v>
                </c:pt>
                <c:pt idx="38">
                  <c:v>154400</c:v>
                </c:pt>
                <c:pt idx="39">
                  <c:v>235500</c:v>
                </c:pt>
                <c:pt idx="40">
                  <c:v>147300</c:v>
                </c:pt>
                <c:pt idx="41">
                  <c:v>166000</c:v>
                </c:pt>
                <c:pt idx="42">
                  <c:v>167100</c:v>
                </c:pt>
                <c:pt idx="43">
                  <c:v>106900</c:v>
                </c:pt>
                <c:pt idx="44">
                  <c:v>145100</c:v>
                </c:pt>
                <c:pt idx="45">
                  <c:v>103600</c:v>
                </c:pt>
                <c:pt idx="46">
                  <c:v>94200</c:v>
                </c:pt>
                <c:pt idx="47">
                  <c:v>2300</c:v>
                </c:pt>
                <c:pt idx="48">
                  <c:v>183600</c:v>
                </c:pt>
                <c:pt idx="49">
                  <c:v>152000</c:v>
                </c:pt>
                <c:pt idx="50">
                  <c:v>53800</c:v>
                </c:pt>
                <c:pt idx="51">
                  <c:v>122000</c:v>
                </c:pt>
                <c:pt idx="52">
                  <c:v>81900</c:v>
                </c:pt>
                <c:pt idx="53">
                  <c:v>117400</c:v>
                </c:pt>
                <c:pt idx="54">
                  <c:v>63400</c:v>
                </c:pt>
                <c:pt idx="55">
                  <c:v>67200</c:v>
                </c:pt>
                <c:pt idx="56">
                  <c:v>35000</c:v>
                </c:pt>
                <c:pt idx="57">
                  <c:v>113600</c:v>
                </c:pt>
                <c:pt idx="58">
                  <c:v>112300</c:v>
                </c:pt>
                <c:pt idx="59">
                  <c:v>117000</c:v>
                </c:pt>
                <c:pt idx="60">
                  <c:v>355900</c:v>
                </c:pt>
                <c:pt idx="61">
                  <c:v>201900</c:v>
                </c:pt>
                <c:pt idx="62">
                  <c:v>347400</c:v>
                </c:pt>
                <c:pt idx="63">
                  <c:v>793700</c:v>
                </c:pt>
                <c:pt idx="64">
                  <c:v>935500</c:v>
                </c:pt>
                <c:pt idx="65">
                  <c:v>234100</c:v>
                </c:pt>
                <c:pt idx="66">
                  <c:v>215100</c:v>
                </c:pt>
                <c:pt idx="67">
                  <c:v>164600</c:v>
                </c:pt>
                <c:pt idx="68">
                  <c:v>180600</c:v>
                </c:pt>
                <c:pt idx="69">
                  <c:v>80300</c:v>
                </c:pt>
                <c:pt idx="70">
                  <c:v>155800</c:v>
                </c:pt>
                <c:pt idx="71">
                  <c:v>116200</c:v>
                </c:pt>
                <c:pt idx="72">
                  <c:v>94400</c:v>
                </c:pt>
                <c:pt idx="73">
                  <c:v>208700</c:v>
                </c:pt>
                <c:pt idx="74">
                  <c:v>178300</c:v>
                </c:pt>
                <c:pt idx="75">
                  <c:v>192000</c:v>
                </c:pt>
                <c:pt idx="76">
                  <c:v>57900</c:v>
                </c:pt>
                <c:pt idx="77">
                  <c:v>97200</c:v>
                </c:pt>
                <c:pt idx="78">
                  <c:v>61700</c:v>
                </c:pt>
                <c:pt idx="79">
                  <c:v>9000</c:v>
                </c:pt>
                <c:pt idx="80">
                  <c:v>187800</c:v>
                </c:pt>
                <c:pt idx="81">
                  <c:v>137500</c:v>
                </c:pt>
                <c:pt idx="82">
                  <c:v>59600</c:v>
                </c:pt>
                <c:pt idx="83">
                  <c:v>114200</c:v>
                </c:pt>
                <c:pt idx="84">
                  <c:v>92500</c:v>
                </c:pt>
                <c:pt idx="85">
                  <c:v>68800</c:v>
                </c:pt>
                <c:pt idx="86">
                  <c:v>81700</c:v>
                </c:pt>
                <c:pt idx="87">
                  <c:v>91200</c:v>
                </c:pt>
                <c:pt idx="88">
                  <c:v>255100</c:v>
                </c:pt>
                <c:pt idx="89">
                  <c:v>96600</c:v>
                </c:pt>
              </c:numCache>
            </c:numRef>
          </c:val>
          <c:extLst>
            <c:ext xmlns:c16="http://schemas.microsoft.com/office/drawing/2014/chart" uri="{C3380CC4-5D6E-409C-BE32-E72D297353CC}">
              <c16:uniqueId val="{00000000-5E84-4B90-827A-4DD306C87CEE}"/>
            </c:ext>
          </c:extLst>
        </c:ser>
        <c:dLbls>
          <c:showLegendKey val="0"/>
          <c:showVal val="0"/>
          <c:showCatName val="0"/>
          <c:showSerName val="0"/>
          <c:showPercent val="0"/>
          <c:showBubbleSize val="0"/>
        </c:dLbls>
        <c:gapWidth val="219"/>
        <c:overlap val="-27"/>
        <c:axId val="768532792"/>
        <c:axId val="768534432"/>
      </c:barChart>
      <c:catAx>
        <c:axId val="768532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4432"/>
        <c:crosses val="autoZero"/>
        <c:auto val="0"/>
        <c:lblAlgn val="ctr"/>
        <c:lblOffset val="100"/>
        <c:noMultiLvlLbl val="0"/>
      </c:catAx>
      <c:valAx>
        <c:axId val="768534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2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tockChart>
        <c:ser>
          <c:idx val="1"/>
          <c:order val="0"/>
          <c:tx>
            <c:strRef>
              <c:f>'トリガー発注 (2)'!$G$50</c:f>
              <c:strCache>
                <c:ptCount val="1"/>
                <c:pt idx="0">
                  <c:v>始値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(2)'!$G$51:$G$140</c:f>
              <c:numCache>
                <c:formatCode>#,##0</c:formatCode>
                <c:ptCount val="90"/>
                <c:pt idx="0">
                  <c:v>1187</c:v>
                </c:pt>
                <c:pt idx="1">
                  <c:v>1190</c:v>
                </c:pt>
                <c:pt idx="2">
                  <c:v>1188</c:v>
                </c:pt>
                <c:pt idx="3">
                  <c:v>1188</c:v>
                </c:pt>
                <c:pt idx="4">
                  <c:v>1193</c:v>
                </c:pt>
                <c:pt idx="5">
                  <c:v>1191</c:v>
                </c:pt>
                <c:pt idx="6">
                  <c:v>1191</c:v>
                </c:pt>
                <c:pt idx="7">
                  <c:v>1192</c:v>
                </c:pt>
                <c:pt idx="8">
                  <c:v>1190</c:v>
                </c:pt>
                <c:pt idx="9">
                  <c:v>1191</c:v>
                </c:pt>
                <c:pt idx="10">
                  <c:v>1191</c:v>
                </c:pt>
                <c:pt idx="11">
                  <c:v>1188</c:v>
                </c:pt>
                <c:pt idx="12">
                  <c:v>1184</c:v>
                </c:pt>
                <c:pt idx="13">
                  <c:v>1185</c:v>
                </c:pt>
                <c:pt idx="14">
                  <c:v>1184</c:v>
                </c:pt>
                <c:pt idx="15">
                  <c:v>1182</c:v>
                </c:pt>
                <c:pt idx="16">
                  <c:v>1180</c:v>
                </c:pt>
                <c:pt idx="17">
                  <c:v>1180</c:v>
                </c:pt>
                <c:pt idx="18">
                  <c:v>1182</c:v>
                </c:pt>
                <c:pt idx="19">
                  <c:v>1184</c:v>
                </c:pt>
                <c:pt idx="20">
                  <c:v>1183</c:v>
                </c:pt>
                <c:pt idx="21">
                  <c:v>1182</c:v>
                </c:pt>
                <c:pt idx="22">
                  <c:v>1181</c:v>
                </c:pt>
                <c:pt idx="23">
                  <c:v>1181</c:v>
                </c:pt>
                <c:pt idx="24">
                  <c:v>1178</c:v>
                </c:pt>
                <c:pt idx="25">
                  <c:v>1180</c:v>
                </c:pt>
                <c:pt idx="26">
                  <c:v>1177</c:v>
                </c:pt>
                <c:pt idx="27">
                  <c:v>1172</c:v>
                </c:pt>
                <c:pt idx="28">
                  <c:v>1169</c:v>
                </c:pt>
                <c:pt idx="29">
                  <c:v>1171</c:v>
                </c:pt>
                <c:pt idx="30">
                  <c:v>1168</c:v>
                </c:pt>
                <c:pt idx="31">
                  <c:v>1161</c:v>
                </c:pt>
                <c:pt idx="32">
                  <c:v>1160</c:v>
                </c:pt>
                <c:pt idx="33">
                  <c:v>1166</c:v>
                </c:pt>
                <c:pt idx="34">
                  <c:v>1158</c:v>
                </c:pt>
                <c:pt idx="35">
                  <c:v>1170</c:v>
                </c:pt>
                <c:pt idx="36">
                  <c:v>1173</c:v>
                </c:pt>
                <c:pt idx="37">
                  <c:v>1180</c:v>
                </c:pt>
                <c:pt idx="38">
                  <c:v>1177</c:v>
                </c:pt>
                <c:pt idx="39">
                  <c:v>1179</c:v>
                </c:pt>
                <c:pt idx="40">
                  <c:v>1184</c:v>
                </c:pt>
                <c:pt idx="41">
                  <c:v>1186</c:v>
                </c:pt>
                <c:pt idx="42">
                  <c:v>1186</c:v>
                </c:pt>
                <c:pt idx="43">
                  <c:v>1190</c:v>
                </c:pt>
                <c:pt idx="44">
                  <c:v>1193</c:v>
                </c:pt>
                <c:pt idx="45">
                  <c:v>1196</c:v>
                </c:pt>
                <c:pt idx="46">
                  <c:v>1198</c:v>
                </c:pt>
                <c:pt idx="47">
                  <c:v>1196</c:v>
                </c:pt>
                <c:pt idx="48">
                  <c:v>1191</c:v>
                </c:pt>
                <c:pt idx="49">
                  <c:v>1185</c:v>
                </c:pt>
                <c:pt idx="50">
                  <c:v>1185</c:v>
                </c:pt>
                <c:pt idx="51">
                  <c:v>1189</c:v>
                </c:pt>
                <c:pt idx="52">
                  <c:v>1189</c:v>
                </c:pt>
                <c:pt idx="53">
                  <c:v>1191</c:v>
                </c:pt>
                <c:pt idx="54">
                  <c:v>1187</c:v>
                </c:pt>
                <c:pt idx="55">
                  <c:v>1193</c:v>
                </c:pt>
                <c:pt idx="56">
                  <c:v>1190</c:v>
                </c:pt>
                <c:pt idx="57">
                  <c:v>1191</c:v>
                </c:pt>
                <c:pt idx="58">
                  <c:v>1187</c:v>
                </c:pt>
                <c:pt idx="59">
                  <c:v>1187</c:v>
                </c:pt>
                <c:pt idx="60">
                  <c:v>1189</c:v>
                </c:pt>
                <c:pt idx="61">
                  <c:v>1188</c:v>
                </c:pt>
                <c:pt idx="62">
                  <c:v>1185</c:v>
                </c:pt>
                <c:pt idx="63">
                  <c:v>1180</c:v>
                </c:pt>
                <c:pt idx="64">
                  <c:v>1165</c:v>
                </c:pt>
                <c:pt idx="65">
                  <c:v>1152</c:v>
                </c:pt>
                <c:pt idx="66">
                  <c:v>1153</c:v>
                </c:pt>
                <c:pt idx="67">
                  <c:v>1159</c:v>
                </c:pt>
                <c:pt idx="68">
                  <c:v>1157</c:v>
                </c:pt>
                <c:pt idx="69">
                  <c:v>1153</c:v>
                </c:pt>
                <c:pt idx="70">
                  <c:v>1153</c:v>
                </c:pt>
                <c:pt idx="71">
                  <c:v>1151</c:v>
                </c:pt>
                <c:pt idx="72">
                  <c:v>1151</c:v>
                </c:pt>
                <c:pt idx="73">
                  <c:v>1151</c:v>
                </c:pt>
                <c:pt idx="74">
                  <c:v>1149</c:v>
                </c:pt>
                <c:pt idx="75">
                  <c:v>1148</c:v>
                </c:pt>
                <c:pt idx="76">
                  <c:v>1155</c:v>
                </c:pt>
                <c:pt idx="77">
                  <c:v>1153</c:v>
                </c:pt>
                <c:pt idx="78">
                  <c:v>1154</c:v>
                </c:pt>
                <c:pt idx="79">
                  <c:v>1157</c:v>
                </c:pt>
                <c:pt idx="80">
                  <c:v>1157</c:v>
                </c:pt>
                <c:pt idx="81">
                  <c:v>1151</c:v>
                </c:pt>
                <c:pt idx="82">
                  <c:v>1153</c:v>
                </c:pt>
                <c:pt idx="83">
                  <c:v>1155</c:v>
                </c:pt>
                <c:pt idx="84">
                  <c:v>1158</c:v>
                </c:pt>
                <c:pt idx="85">
                  <c:v>1158</c:v>
                </c:pt>
                <c:pt idx="86">
                  <c:v>1159</c:v>
                </c:pt>
                <c:pt idx="87">
                  <c:v>1158</c:v>
                </c:pt>
                <c:pt idx="88">
                  <c:v>1154</c:v>
                </c:pt>
                <c:pt idx="89">
                  <c:v>1151</c:v>
                </c:pt>
              </c:numCache>
            </c:numRef>
          </c:val>
          <c:smooth val="0"/>
          <c:extLst>
            <c:ext xmlns:c16="http://schemas.microsoft.com/office/drawing/2014/chart" uri="{C3380CC4-5D6E-409C-BE32-E72D297353CC}">
              <c16:uniqueId val="{00000000-C1CA-40A5-8886-AD3CD284C7E6}"/>
            </c:ext>
          </c:extLst>
        </c:ser>
        <c:ser>
          <c:idx val="2"/>
          <c:order val="1"/>
          <c:tx>
            <c:strRef>
              <c:f>'トリガー発注 (2)'!$H$50</c:f>
              <c:strCache>
                <c:ptCount val="1"/>
                <c:pt idx="0">
                  <c:v>高値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(2)'!$H$51:$H$140</c:f>
              <c:numCache>
                <c:formatCode>#,##0</c:formatCode>
                <c:ptCount val="90"/>
                <c:pt idx="0">
                  <c:v>1193</c:v>
                </c:pt>
                <c:pt idx="1">
                  <c:v>1191</c:v>
                </c:pt>
                <c:pt idx="2">
                  <c:v>1190</c:v>
                </c:pt>
                <c:pt idx="3">
                  <c:v>1194</c:v>
                </c:pt>
                <c:pt idx="4">
                  <c:v>1194</c:v>
                </c:pt>
                <c:pt idx="5">
                  <c:v>1192</c:v>
                </c:pt>
                <c:pt idx="6">
                  <c:v>1192</c:v>
                </c:pt>
                <c:pt idx="7">
                  <c:v>1192</c:v>
                </c:pt>
                <c:pt idx="8">
                  <c:v>1191</c:v>
                </c:pt>
                <c:pt idx="9">
                  <c:v>1192</c:v>
                </c:pt>
                <c:pt idx="10">
                  <c:v>1191</c:v>
                </c:pt>
                <c:pt idx="11">
                  <c:v>1188</c:v>
                </c:pt>
                <c:pt idx="12">
                  <c:v>1186</c:v>
                </c:pt>
                <c:pt idx="13">
                  <c:v>1185</c:v>
                </c:pt>
                <c:pt idx="14">
                  <c:v>1185</c:v>
                </c:pt>
                <c:pt idx="15">
                  <c:v>1182</c:v>
                </c:pt>
                <c:pt idx="16">
                  <c:v>1181</c:v>
                </c:pt>
                <c:pt idx="17">
                  <c:v>1182</c:v>
                </c:pt>
                <c:pt idx="18">
                  <c:v>1184</c:v>
                </c:pt>
                <c:pt idx="19">
                  <c:v>1184</c:v>
                </c:pt>
                <c:pt idx="20">
                  <c:v>1183</c:v>
                </c:pt>
                <c:pt idx="21">
                  <c:v>1182</c:v>
                </c:pt>
                <c:pt idx="22">
                  <c:v>1183</c:v>
                </c:pt>
                <c:pt idx="23">
                  <c:v>1182</c:v>
                </c:pt>
                <c:pt idx="24">
                  <c:v>1180</c:v>
                </c:pt>
                <c:pt idx="25">
                  <c:v>1180</c:v>
                </c:pt>
                <c:pt idx="26">
                  <c:v>1177</c:v>
                </c:pt>
                <c:pt idx="27">
                  <c:v>1175</c:v>
                </c:pt>
                <c:pt idx="28">
                  <c:v>1172</c:v>
                </c:pt>
                <c:pt idx="29">
                  <c:v>1171</c:v>
                </c:pt>
                <c:pt idx="30">
                  <c:v>1168</c:v>
                </c:pt>
                <c:pt idx="31">
                  <c:v>1161</c:v>
                </c:pt>
                <c:pt idx="32">
                  <c:v>1175</c:v>
                </c:pt>
                <c:pt idx="33">
                  <c:v>1177</c:v>
                </c:pt>
                <c:pt idx="34">
                  <c:v>1172</c:v>
                </c:pt>
                <c:pt idx="35">
                  <c:v>1177</c:v>
                </c:pt>
                <c:pt idx="36">
                  <c:v>1182</c:v>
                </c:pt>
                <c:pt idx="37">
                  <c:v>1181</c:v>
                </c:pt>
                <c:pt idx="38">
                  <c:v>1181</c:v>
                </c:pt>
                <c:pt idx="39">
                  <c:v>1188</c:v>
                </c:pt>
                <c:pt idx="40">
                  <c:v>1187</c:v>
                </c:pt>
                <c:pt idx="41">
                  <c:v>1186</c:v>
                </c:pt>
                <c:pt idx="42">
                  <c:v>1192</c:v>
                </c:pt>
                <c:pt idx="43">
                  <c:v>1194</c:v>
                </c:pt>
                <c:pt idx="44">
                  <c:v>1198</c:v>
                </c:pt>
                <c:pt idx="45">
                  <c:v>1199</c:v>
                </c:pt>
                <c:pt idx="46">
                  <c:v>1199</c:v>
                </c:pt>
                <c:pt idx="47">
                  <c:v>1196</c:v>
                </c:pt>
                <c:pt idx="48">
                  <c:v>1193</c:v>
                </c:pt>
                <c:pt idx="49">
                  <c:v>1186</c:v>
                </c:pt>
                <c:pt idx="50">
                  <c:v>1188</c:v>
                </c:pt>
                <c:pt idx="51">
                  <c:v>1190</c:v>
                </c:pt>
                <c:pt idx="52">
                  <c:v>1192</c:v>
                </c:pt>
                <c:pt idx="53">
                  <c:v>1192</c:v>
                </c:pt>
                <c:pt idx="54">
                  <c:v>1193</c:v>
                </c:pt>
                <c:pt idx="55">
                  <c:v>1193</c:v>
                </c:pt>
                <c:pt idx="56">
                  <c:v>1191</c:v>
                </c:pt>
                <c:pt idx="57">
                  <c:v>1191</c:v>
                </c:pt>
                <c:pt idx="58">
                  <c:v>1188</c:v>
                </c:pt>
                <c:pt idx="59">
                  <c:v>1189</c:v>
                </c:pt>
                <c:pt idx="60">
                  <c:v>1189</c:v>
                </c:pt>
                <c:pt idx="61">
                  <c:v>1188</c:v>
                </c:pt>
                <c:pt idx="62">
                  <c:v>1186</c:v>
                </c:pt>
                <c:pt idx="63">
                  <c:v>1180</c:v>
                </c:pt>
                <c:pt idx="64">
                  <c:v>1168</c:v>
                </c:pt>
                <c:pt idx="65">
                  <c:v>1158</c:v>
                </c:pt>
                <c:pt idx="66">
                  <c:v>1161</c:v>
                </c:pt>
                <c:pt idx="67">
                  <c:v>1163</c:v>
                </c:pt>
                <c:pt idx="68">
                  <c:v>1157</c:v>
                </c:pt>
                <c:pt idx="69">
                  <c:v>1154</c:v>
                </c:pt>
                <c:pt idx="70">
                  <c:v>1153</c:v>
                </c:pt>
                <c:pt idx="71">
                  <c:v>1152</c:v>
                </c:pt>
                <c:pt idx="72">
                  <c:v>1152</c:v>
                </c:pt>
                <c:pt idx="73">
                  <c:v>1152</c:v>
                </c:pt>
                <c:pt idx="74">
                  <c:v>1151</c:v>
                </c:pt>
                <c:pt idx="75">
                  <c:v>1156</c:v>
                </c:pt>
                <c:pt idx="76">
                  <c:v>1156</c:v>
                </c:pt>
                <c:pt idx="77">
                  <c:v>1156</c:v>
                </c:pt>
                <c:pt idx="78">
                  <c:v>1156</c:v>
                </c:pt>
                <c:pt idx="79">
                  <c:v>1157</c:v>
                </c:pt>
                <c:pt idx="80">
                  <c:v>1157</c:v>
                </c:pt>
                <c:pt idx="81">
                  <c:v>1154</c:v>
                </c:pt>
                <c:pt idx="82">
                  <c:v>1156</c:v>
                </c:pt>
                <c:pt idx="83">
                  <c:v>1160</c:v>
                </c:pt>
                <c:pt idx="84">
                  <c:v>1160</c:v>
                </c:pt>
                <c:pt idx="85">
                  <c:v>1161</c:v>
                </c:pt>
                <c:pt idx="86">
                  <c:v>1159</c:v>
                </c:pt>
                <c:pt idx="87">
                  <c:v>1159</c:v>
                </c:pt>
                <c:pt idx="88">
                  <c:v>1154</c:v>
                </c:pt>
                <c:pt idx="89">
                  <c:v>1152</c:v>
                </c:pt>
              </c:numCache>
            </c:numRef>
          </c:val>
          <c:smooth val="0"/>
          <c:extLst>
            <c:ext xmlns:c16="http://schemas.microsoft.com/office/drawing/2014/chart" uri="{C3380CC4-5D6E-409C-BE32-E72D297353CC}">
              <c16:uniqueId val="{00000001-C1CA-40A5-8886-AD3CD284C7E6}"/>
            </c:ext>
          </c:extLst>
        </c:ser>
        <c:ser>
          <c:idx val="3"/>
          <c:order val="2"/>
          <c:tx>
            <c:strRef>
              <c:f>'トリガー発注 (2)'!$I$50</c:f>
              <c:strCache>
                <c:ptCount val="1"/>
                <c:pt idx="0">
                  <c:v>安値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(2)'!$I$51:$I$140</c:f>
              <c:numCache>
                <c:formatCode>#,##0</c:formatCode>
                <c:ptCount val="90"/>
                <c:pt idx="0">
                  <c:v>1178</c:v>
                </c:pt>
                <c:pt idx="1">
                  <c:v>1181</c:v>
                </c:pt>
                <c:pt idx="2">
                  <c:v>1181</c:v>
                </c:pt>
                <c:pt idx="3">
                  <c:v>1186</c:v>
                </c:pt>
                <c:pt idx="4">
                  <c:v>1189</c:v>
                </c:pt>
                <c:pt idx="5">
                  <c:v>1188</c:v>
                </c:pt>
                <c:pt idx="6">
                  <c:v>1189</c:v>
                </c:pt>
                <c:pt idx="7">
                  <c:v>1190</c:v>
                </c:pt>
                <c:pt idx="8">
                  <c:v>1186</c:v>
                </c:pt>
                <c:pt idx="9">
                  <c:v>1190</c:v>
                </c:pt>
                <c:pt idx="10">
                  <c:v>1188</c:v>
                </c:pt>
                <c:pt idx="11">
                  <c:v>1183</c:v>
                </c:pt>
                <c:pt idx="12">
                  <c:v>1183</c:v>
                </c:pt>
                <c:pt idx="13">
                  <c:v>1183</c:v>
                </c:pt>
                <c:pt idx="14">
                  <c:v>1182</c:v>
                </c:pt>
                <c:pt idx="15">
                  <c:v>1182</c:v>
                </c:pt>
                <c:pt idx="16">
                  <c:v>1178</c:v>
                </c:pt>
                <c:pt idx="17">
                  <c:v>1180</c:v>
                </c:pt>
                <c:pt idx="18">
                  <c:v>1181</c:v>
                </c:pt>
                <c:pt idx="19">
                  <c:v>1182</c:v>
                </c:pt>
                <c:pt idx="20">
                  <c:v>1178</c:v>
                </c:pt>
                <c:pt idx="21">
                  <c:v>1180</c:v>
                </c:pt>
                <c:pt idx="22">
                  <c:v>1181</c:v>
                </c:pt>
                <c:pt idx="23">
                  <c:v>1179</c:v>
                </c:pt>
                <c:pt idx="24">
                  <c:v>1178</c:v>
                </c:pt>
                <c:pt idx="25">
                  <c:v>1176</c:v>
                </c:pt>
                <c:pt idx="26">
                  <c:v>1171</c:v>
                </c:pt>
                <c:pt idx="27">
                  <c:v>1167</c:v>
                </c:pt>
                <c:pt idx="28">
                  <c:v>1169</c:v>
                </c:pt>
                <c:pt idx="29">
                  <c:v>1166</c:v>
                </c:pt>
                <c:pt idx="30">
                  <c:v>1161</c:v>
                </c:pt>
                <c:pt idx="31">
                  <c:v>1161</c:v>
                </c:pt>
                <c:pt idx="32">
                  <c:v>1158</c:v>
                </c:pt>
                <c:pt idx="33">
                  <c:v>1157</c:v>
                </c:pt>
                <c:pt idx="34">
                  <c:v>1155</c:v>
                </c:pt>
                <c:pt idx="35">
                  <c:v>1170</c:v>
                </c:pt>
                <c:pt idx="36">
                  <c:v>1173</c:v>
                </c:pt>
                <c:pt idx="37">
                  <c:v>1175</c:v>
                </c:pt>
                <c:pt idx="38">
                  <c:v>1174</c:v>
                </c:pt>
                <c:pt idx="39">
                  <c:v>1179</c:v>
                </c:pt>
                <c:pt idx="40">
                  <c:v>1183</c:v>
                </c:pt>
                <c:pt idx="41">
                  <c:v>1184</c:v>
                </c:pt>
                <c:pt idx="42">
                  <c:v>1186</c:v>
                </c:pt>
                <c:pt idx="43">
                  <c:v>1190</c:v>
                </c:pt>
                <c:pt idx="44">
                  <c:v>1191</c:v>
                </c:pt>
                <c:pt idx="45">
                  <c:v>1194</c:v>
                </c:pt>
                <c:pt idx="46">
                  <c:v>1196</c:v>
                </c:pt>
                <c:pt idx="47">
                  <c:v>1196</c:v>
                </c:pt>
                <c:pt idx="48">
                  <c:v>1184</c:v>
                </c:pt>
                <c:pt idx="49">
                  <c:v>1182</c:v>
                </c:pt>
                <c:pt idx="50">
                  <c:v>1184</c:v>
                </c:pt>
                <c:pt idx="51">
                  <c:v>1187</c:v>
                </c:pt>
                <c:pt idx="52">
                  <c:v>1188</c:v>
                </c:pt>
                <c:pt idx="53">
                  <c:v>1187</c:v>
                </c:pt>
                <c:pt idx="54">
                  <c:v>1187</c:v>
                </c:pt>
                <c:pt idx="55">
                  <c:v>1189</c:v>
                </c:pt>
                <c:pt idx="56">
                  <c:v>1189</c:v>
                </c:pt>
                <c:pt idx="57">
                  <c:v>1186</c:v>
                </c:pt>
                <c:pt idx="58">
                  <c:v>1186</c:v>
                </c:pt>
                <c:pt idx="59">
                  <c:v>1186</c:v>
                </c:pt>
                <c:pt idx="60">
                  <c:v>1184</c:v>
                </c:pt>
                <c:pt idx="61">
                  <c:v>1184</c:v>
                </c:pt>
                <c:pt idx="62">
                  <c:v>1180</c:v>
                </c:pt>
                <c:pt idx="63">
                  <c:v>1180</c:v>
                </c:pt>
                <c:pt idx="64">
                  <c:v>1145</c:v>
                </c:pt>
                <c:pt idx="65">
                  <c:v>1148</c:v>
                </c:pt>
                <c:pt idx="66">
                  <c:v>1151</c:v>
                </c:pt>
                <c:pt idx="67">
                  <c:v>1155</c:v>
                </c:pt>
                <c:pt idx="68">
                  <c:v>1150</c:v>
                </c:pt>
                <c:pt idx="69">
                  <c:v>1151</c:v>
                </c:pt>
                <c:pt idx="70">
                  <c:v>1150</c:v>
                </c:pt>
                <c:pt idx="71">
                  <c:v>1150</c:v>
                </c:pt>
                <c:pt idx="72">
                  <c:v>1150</c:v>
                </c:pt>
                <c:pt idx="73">
                  <c:v>1148</c:v>
                </c:pt>
                <c:pt idx="74">
                  <c:v>1147</c:v>
                </c:pt>
                <c:pt idx="75">
                  <c:v>1148</c:v>
                </c:pt>
                <c:pt idx="76">
                  <c:v>1153</c:v>
                </c:pt>
                <c:pt idx="77">
                  <c:v>1153</c:v>
                </c:pt>
                <c:pt idx="78">
                  <c:v>1153</c:v>
                </c:pt>
                <c:pt idx="79">
                  <c:v>1157</c:v>
                </c:pt>
                <c:pt idx="80">
                  <c:v>1151</c:v>
                </c:pt>
                <c:pt idx="81">
                  <c:v>1150</c:v>
                </c:pt>
                <c:pt idx="82">
                  <c:v>1153</c:v>
                </c:pt>
                <c:pt idx="83">
                  <c:v>1155</c:v>
                </c:pt>
                <c:pt idx="84">
                  <c:v>1157</c:v>
                </c:pt>
                <c:pt idx="85">
                  <c:v>1158</c:v>
                </c:pt>
                <c:pt idx="86">
                  <c:v>1157</c:v>
                </c:pt>
                <c:pt idx="87">
                  <c:v>1154</c:v>
                </c:pt>
                <c:pt idx="88">
                  <c:v>1149</c:v>
                </c:pt>
                <c:pt idx="89">
                  <c:v>1150</c:v>
                </c:pt>
              </c:numCache>
            </c:numRef>
          </c:val>
          <c:smooth val="0"/>
          <c:extLst>
            <c:ext xmlns:c16="http://schemas.microsoft.com/office/drawing/2014/chart" uri="{C3380CC4-5D6E-409C-BE32-E72D297353CC}">
              <c16:uniqueId val="{00000002-C1CA-40A5-8886-AD3CD284C7E6}"/>
            </c:ext>
          </c:extLst>
        </c:ser>
        <c:ser>
          <c:idx val="4"/>
          <c:order val="3"/>
          <c:tx>
            <c:strRef>
              <c:f>'トリガー発注 (2)'!$J$50</c:f>
              <c:strCache>
                <c:ptCount val="1"/>
                <c:pt idx="0">
                  <c:v>終値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(2)'!$J$51:$J$140</c:f>
              <c:numCache>
                <c:formatCode>#,##0</c:formatCode>
                <c:ptCount val="90"/>
                <c:pt idx="0">
                  <c:v>1189</c:v>
                </c:pt>
                <c:pt idx="1">
                  <c:v>1188</c:v>
                </c:pt>
                <c:pt idx="2">
                  <c:v>1188</c:v>
                </c:pt>
                <c:pt idx="3">
                  <c:v>1193</c:v>
                </c:pt>
                <c:pt idx="4">
                  <c:v>1191</c:v>
                </c:pt>
                <c:pt idx="5">
                  <c:v>1190</c:v>
                </c:pt>
                <c:pt idx="6">
                  <c:v>1192</c:v>
                </c:pt>
                <c:pt idx="7">
                  <c:v>1190</c:v>
                </c:pt>
                <c:pt idx="8">
                  <c:v>1191</c:v>
                </c:pt>
                <c:pt idx="9">
                  <c:v>1191</c:v>
                </c:pt>
                <c:pt idx="10">
                  <c:v>1189</c:v>
                </c:pt>
                <c:pt idx="11">
                  <c:v>1183</c:v>
                </c:pt>
                <c:pt idx="12">
                  <c:v>1184</c:v>
                </c:pt>
                <c:pt idx="13">
                  <c:v>1184</c:v>
                </c:pt>
                <c:pt idx="14">
                  <c:v>1183</c:v>
                </c:pt>
                <c:pt idx="15">
                  <c:v>1182</c:v>
                </c:pt>
                <c:pt idx="16">
                  <c:v>1180</c:v>
                </c:pt>
                <c:pt idx="17">
                  <c:v>1182</c:v>
                </c:pt>
                <c:pt idx="18">
                  <c:v>1184</c:v>
                </c:pt>
                <c:pt idx="19">
                  <c:v>1183</c:v>
                </c:pt>
                <c:pt idx="20">
                  <c:v>1181</c:v>
                </c:pt>
                <c:pt idx="21">
                  <c:v>1181</c:v>
                </c:pt>
                <c:pt idx="22">
                  <c:v>1182</c:v>
                </c:pt>
                <c:pt idx="23">
                  <c:v>1179</c:v>
                </c:pt>
                <c:pt idx="24">
                  <c:v>1179</c:v>
                </c:pt>
                <c:pt idx="25">
                  <c:v>1176</c:v>
                </c:pt>
                <c:pt idx="26">
                  <c:v>1172</c:v>
                </c:pt>
                <c:pt idx="27">
                  <c:v>1170</c:v>
                </c:pt>
                <c:pt idx="28">
                  <c:v>1172</c:v>
                </c:pt>
                <c:pt idx="29">
                  <c:v>1167</c:v>
                </c:pt>
                <c:pt idx="30">
                  <c:v>1161</c:v>
                </c:pt>
                <c:pt idx="31">
                  <c:v>1161</c:v>
                </c:pt>
                <c:pt idx="32">
                  <c:v>1166</c:v>
                </c:pt>
                <c:pt idx="33">
                  <c:v>1159</c:v>
                </c:pt>
                <c:pt idx="34">
                  <c:v>1170</c:v>
                </c:pt>
                <c:pt idx="35">
                  <c:v>1174</c:v>
                </c:pt>
                <c:pt idx="36">
                  <c:v>1180</c:v>
                </c:pt>
                <c:pt idx="37">
                  <c:v>1177</c:v>
                </c:pt>
                <c:pt idx="38">
                  <c:v>1179</c:v>
                </c:pt>
                <c:pt idx="39">
                  <c:v>1184</c:v>
                </c:pt>
                <c:pt idx="40">
                  <c:v>1185</c:v>
                </c:pt>
                <c:pt idx="41">
                  <c:v>1186</c:v>
                </c:pt>
                <c:pt idx="42">
                  <c:v>1190</c:v>
                </c:pt>
                <c:pt idx="43">
                  <c:v>1192</c:v>
                </c:pt>
                <c:pt idx="44">
                  <c:v>1196</c:v>
                </c:pt>
                <c:pt idx="45">
                  <c:v>1198</c:v>
                </c:pt>
                <c:pt idx="46">
                  <c:v>1197</c:v>
                </c:pt>
                <c:pt idx="47">
                  <c:v>1196</c:v>
                </c:pt>
                <c:pt idx="48">
                  <c:v>1185</c:v>
                </c:pt>
                <c:pt idx="49">
                  <c:v>1184</c:v>
                </c:pt>
                <c:pt idx="50">
                  <c:v>1188</c:v>
                </c:pt>
                <c:pt idx="51">
                  <c:v>1189</c:v>
                </c:pt>
                <c:pt idx="52">
                  <c:v>1191</c:v>
                </c:pt>
                <c:pt idx="53">
                  <c:v>1188</c:v>
                </c:pt>
                <c:pt idx="54">
                  <c:v>1192</c:v>
                </c:pt>
                <c:pt idx="55">
                  <c:v>1191</c:v>
                </c:pt>
                <c:pt idx="56">
                  <c:v>1191</c:v>
                </c:pt>
                <c:pt idx="57">
                  <c:v>1186</c:v>
                </c:pt>
                <c:pt idx="58">
                  <c:v>1187</c:v>
                </c:pt>
                <c:pt idx="59">
                  <c:v>1189</c:v>
                </c:pt>
                <c:pt idx="60">
                  <c:v>1188</c:v>
                </c:pt>
                <c:pt idx="61">
                  <c:v>1185</c:v>
                </c:pt>
                <c:pt idx="62">
                  <c:v>1182</c:v>
                </c:pt>
                <c:pt idx="63">
                  <c:v>1180</c:v>
                </c:pt>
                <c:pt idx="64">
                  <c:v>1153</c:v>
                </c:pt>
                <c:pt idx="65">
                  <c:v>1154</c:v>
                </c:pt>
                <c:pt idx="66">
                  <c:v>1160</c:v>
                </c:pt>
                <c:pt idx="67">
                  <c:v>1157</c:v>
                </c:pt>
                <c:pt idx="68">
                  <c:v>1152</c:v>
                </c:pt>
                <c:pt idx="69">
                  <c:v>1153</c:v>
                </c:pt>
                <c:pt idx="70">
                  <c:v>1152</c:v>
                </c:pt>
                <c:pt idx="71">
                  <c:v>1151</c:v>
                </c:pt>
                <c:pt idx="72">
                  <c:v>1151</c:v>
                </c:pt>
                <c:pt idx="73">
                  <c:v>1149</c:v>
                </c:pt>
                <c:pt idx="74">
                  <c:v>1148</c:v>
                </c:pt>
                <c:pt idx="75">
                  <c:v>1156</c:v>
                </c:pt>
                <c:pt idx="76">
                  <c:v>1153</c:v>
                </c:pt>
                <c:pt idx="77">
                  <c:v>1154</c:v>
                </c:pt>
                <c:pt idx="78">
                  <c:v>1154</c:v>
                </c:pt>
                <c:pt idx="79">
                  <c:v>1157</c:v>
                </c:pt>
                <c:pt idx="80">
                  <c:v>1152</c:v>
                </c:pt>
                <c:pt idx="81">
                  <c:v>1154</c:v>
                </c:pt>
                <c:pt idx="82">
                  <c:v>1154</c:v>
                </c:pt>
                <c:pt idx="83">
                  <c:v>1158</c:v>
                </c:pt>
                <c:pt idx="84">
                  <c:v>1159</c:v>
                </c:pt>
                <c:pt idx="85">
                  <c:v>1160</c:v>
                </c:pt>
                <c:pt idx="86">
                  <c:v>1158</c:v>
                </c:pt>
                <c:pt idx="87">
                  <c:v>1154</c:v>
                </c:pt>
                <c:pt idx="88">
                  <c:v>1151</c:v>
                </c:pt>
                <c:pt idx="89">
                  <c:v>1152</c:v>
                </c:pt>
              </c:numCache>
            </c:numRef>
          </c:val>
          <c:smooth val="0"/>
          <c:extLst>
            <c:ext xmlns:c16="http://schemas.microsoft.com/office/drawing/2014/chart" uri="{C3380CC4-5D6E-409C-BE32-E72D297353CC}">
              <c16:uniqueId val="{00000003-C1CA-40A5-8886-AD3CD284C7E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53495808"/>
        <c:axId val="153493888"/>
      </c:stockChart>
      <c:stockChart>
        <c:ser>
          <c:idx val="0"/>
          <c:order val="4"/>
          <c:tx>
            <c:strRef>
              <c:f>'トリガー発注 (2)'!$K$50</c:f>
              <c:strCache>
                <c:ptCount val="1"/>
                <c:pt idx="0">
                  <c:v>移動平均1</c:v>
                </c:pt>
              </c:strCache>
            </c:strRef>
          </c:tx>
          <c:spPr>
            <a:ln w="25400" cap="rnd">
              <a:solidFill>
                <a:schemeClr val="accent2">
                  <a:lumMod val="60000"/>
                  <a:lumOff val="40000"/>
                </a:schemeClr>
              </a:solid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(2)'!$K$51:$K$140</c:f>
              <c:numCache>
                <c:formatCode>0.0</c:formatCode>
                <c:ptCount val="90"/>
                <c:pt idx="0">
                  <c:v>1182.8</c:v>
                </c:pt>
                <c:pt idx="1">
                  <c:v>1182.9000000000001</c:v>
                </c:pt>
                <c:pt idx="2">
                  <c:v>1183.2</c:v>
                </c:pt>
                <c:pt idx="3">
                  <c:v>1184</c:v>
                </c:pt>
                <c:pt idx="4">
                  <c:v>1185.2</c:v>
                </c:pt>
                <c:pt idx="5">
                  <c:v>1186.3</c:v>
                </c:pt>
                <c:pt idx="6">
                  <c:v>1187.5999999999999</c:v>
                </c:pt>
                <c:pt idx="7">
                  <c:v>1188.3</c:v>
                </c:pt>
                <c:pt idx="8">
                  <c:v>1189.4000000000001</c:v>
                </c:pt>
                <c:pt idx="9">
                  <c:v>1190.3</c:v>
                </c:pt>
                <c:pt idx="10">
                  <c:v>1190.3</c:v>
                </c:pt>
                <c:pt idx="11">
                  <c:v>1189.8</c:v>
                </c:pt>
                <c:pt idx="12">
                  <c:v>1189.4000000000001</c:v>
                </c:pt>
                <c:pt idx="13">
                  <c:v>1188.5</c:v>
                </c:pt>
                <c:pt idx="14">
                  <c:v>1187.7</c:v>
                </c:pt>
                <c:pt idx="15">
                  <c:v>1186.9000000000001</c:v>
                </c:pt>
                <c:pt idx="16">
                  <c:v>1185.7</c:v>
                </c:pt>
                <c:pt idx="17">
                  <c:v>1184.9000000000001</c:v>
                </c:pt>
                <c:pt idx="18">
                  <c:v>1184.2</c:v>
                </c:pt>
                <c:pt idx="19">
                  <c:v>1183.4000000000001</c:v>
                </c:pt>
                <c:pt idx="20">
                  <c:v>1182.5999999999999</c:v>
                </c:pt>
                <c:pt idx="21">
                  <c:v>1182.4000000000001</c:v>
                </c:pt>
                <c:pt idx="22">
                  <c:v>1182.2</c:v>
                </c:pt>
                <c:pt idx="23">
                  <c:v>1181.7</c:v>
                </c:pt>
                <c:pt idx="24">
                  <c:v>1181.3</c:v>
                </c:pt>
                <c:pt idx="25">
                  <c:v>1180.7</c:v>
                </c:pt>
                <c:pt idx="26">
                  <c:v>1179.9000000000001</c:v>
                </c:pt>
                <c:pt idx="27">
                  <c:v>1178.7</c:v>
                </c:pt>
                <c:pt idx="28">
                  <c:v>1177.5</c:v>
                </c:pt>
                <c:pt idx="29">
                  <c:v>1175.9000000000001</c:v>
                </c:pt>
                <c:pt idx="30">
                  <c:v>1173.9000000000001</c:v>
                </c:pt>
                <c:pt idx="31">
                  <c:v>1171.9000000000001</c:v>
                </c:pt>
                <c:pt idx="32">
                  <c:v>1170.3</c:v>
                </c:pt>
                <c:pt idx="33">
                  <c:v>1168.3</c:v>
                </c:pt>
                <c:pt idx="34">
                  <c:v>1167.4000000000001</c:v>
                </c:pt>
                <c:pt idx="35">
                  <c:v>1167.2</c:v>
                </c:pt>
                <c:pt idx="36">
                  <c:v>1168</c:v>
                </c:pt>
                <c:pt idx="37">
                  <c:v>1168.7</c:v>
                </c:pt>
                <c:pt idx="38">
                  <c:v>1169.4000000000001</c:v>
                </c:pt>
                <c:pt idx="39">
                  <c:v>1171.0999999999999</c:v>
                </c:pt>
                <c:pt idx="40">
                  <c:v>1173.5</c:v>
                </c:pt>
                <c:pt idx="41">
                  <c:v>1176</c:v>
                </c:pt>
                <c:pt idx="42">
                  <c:v>1178.4000000000001</c:v>
                </c:pt>
                <c:pt idx="43">
                  <c:v>1181.7</c:v>
                </c:pt>
                <c:pt idx="44">
                  <c:v>1184.3</c:v>
                </c:pt>
                <c:pt idx="45">
                  <c:v>1186.7</c:v>
                </c:pt>
                <c:pt idx="46">
                  <c:v>1188.4000000000001</c:v>
                </c:pt>
                <c:pt idx="47">
                  <c:v>1190.3</c:v>
                </c:pt>
                <c:pt idx="48">
                  <c:v>1190.9000000000001</c:v>
                </c:pt>
                <c:pt idx="49">
                  <c:v>1190.9000000000001</c:v>
                </c:pt>
                <c:pt idx="50">
                  <c:v>1191.2</c:v>
                </c:pt>
                <c:pt idx="51">
                  <c:v>1191.5</c:v>
                </c:pt>
                <c:pt idx="52">
                  <c:v>1191.5999999999999</c:v>
                </c:pt>
                <c:pt idx="53">
                  <c:v>1191.2</c:v>
                </c:pt>
                <c:pt idx="54">
                  <c:v>1190.8</c:v>
                </c:pt>
                <c:pt idx="55">
                  <c:v>1190.0999999999999</c:v>
                </c:pt>
                <c:pt idx="56">
                  <c:v>1189.5</c:v>
                </c:pt>
                <c:pt idx="57">
                  <c:v>1188.5</c:v>
                </c:pt>
                <c:pt idx="58">
                  <c:v>1188.7</c:v>
                </c:pt>
                <c:pt idx="59">
                  <c:v>1189.2</c:v>
                </c:pt>
                <c:pt idx="60">
                  <c:v>1189.2</c:v>
                </c:pt>
                <c:pt idx="61">
                  <c:v>1188.8</c:v>
                </c:pt>
                <c:pt idx="62">
                  <c:v>1187.9000000000001</c:v>
                </c:pt>
                <c:pt idx="63">
                  <c:v>1187.0999999999999</c:v>
                </c:pt>
                <c:pt idx="64">
                  <c:v>1183.2</c:v>
                </c:pt>
                <c:pt idx="65">
                  <c:v>1179.5</c:v>
                </c:pt>
                <c:pt idx="66">
                  <c:v>1176.4000000000001</c:v>
                </c:pt>
                <c:pt idx="67">
                  <c:v>1173.5</c:v>
                </c:pt>
                <c:pt idx="68">
                  <c:v>1170</c:v>
                </c:pt>
                <c:pt idx="69">
                  <c:v>1166.4000000000001</c:v>
                </c:pt>
                <c:pt idx="70">
                  <c:v>1162.8</c:v>
                </c:pt>
                <c:pt idx="71">
                  <c:v>1159.4000000000001</c:v>
                </c:pt>
                <c:pt idx="72">
                  <c:v>1156.3</c:v>
                </c:pt>
                <c:pt idx="73">
                  <c:v>1153.2</c:v>
                </c:pt>
                <c:pt idx="74">
                  <c:v>1152.7</c:v>
                </c:pt>
                <c:pt idx="75">
                  <c:v>1152.9000000000001</c:v>
                </c:pt>
                <c:pt idx="76">
                  <c:v>1152.2</c:v>
                </c:pt>
                <c:pt idx="77">
                  <c:v>1151.9000000000001</c:v>
                </c:pt>
                <c:pt idx="78">
                  <c:v>1152.0999999999999</c:v>
                </c:pt>
                <c:pt idx="79">
                  <c:v>1152.5</c:v>
                </c:pt>
                <c:pt idx="80">
                  <c:v>1152.5</c:v>
                </c:pt>
                <c:pt idx="81">
                  <c:v>1152.8</c:v>
                </c:pt>
                <c:pt idx="82">
                  <c:v>1153.0999999999999</c:v>
                </c:pt>
                <c:pt idx="83">
                  <c:v>1154</c:v>
                </c:pt>
                <c:pt idx="84">
                  <c:v>1155.0999999999999</c:v>
                </c:pt>
                <c:pt idx="85">
                  <c:v>1155.5</c:v>
                </c:pt>
                <c:pt idx="86">
                  <c:v>1156</c:v>
                </c:pt>
                <c:pt idx="87">
                  <c:v>1156</c:v>
                </c:pt>
                <c:pt idx="88">
                  <c:v>1155.7</c:v>
                </c:pt>
                <c:pt idx="89">
                  <c:v>1155.2</c:v>
                </c:pt>
              </c:numCache>
            </c:numRef>
          </c:val>
          <c:smooth val="0"/>
          <c:extLst>
            <c:ext xmlns:c16="http://schemas.microsoft.com/office/drawing/2014/chart" uri="{C3380CC4-5D6E-409C-BE32-E72D297353CC}">
              <c16:uniqueId val="{00000004-C1CA-40A5-8886-AD3CD284C7E6}"/>
            </c:ext>
          </c:extLst>
        </c:ser>
        <c:ser>
          <c:idx val="5"/>
          <c:order val="5"/>
          <c:tx>
            <c:strRef>
              <c:f>'トリガー発注 (2)'!$L$50</c:f>
              <c:strCache>
                <c:ptCount val="1"/>
                <c:pt idx="0">
                  <c:v>移動平均2</c:v>
                </c:pt>
              </c:strCache>
            </c:strRef>
          </c:tx>
          <c:spPr>
            <a:ln w="25400" cap="rnd">
              <a:solidFill>
                <a:schemeClr val="accent1"/>
              </a:solid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(2)'!$L$51:$L$140</c:f>
              <c:numCache>
                <c:formatCode>0.0</c:formatCode>
                <c:ptCount val="90"/>
                <c:pt idx="0">
                  <c:v>1190.8</c:v>
                </c:pt>
                <c:pt idx="1">
                  <c:v>1190.5999999999999</c:v>
                </c:pt>
                <c:pt idx="2">
                  <c:v>1190.4000000000001</c:v>
                </c:pt>
                <c:pt idx="3">
                  <c:v>1190.4000000000001</c:v>
                </c:pt>
                <c:pt idx="4">
                  <c:v>1190</c:v>
                </c:pt>
                <c:pt idx="5">
                  <c:v>1189.8</c:v>
                </c:pt>
                <c:pt idx="6">
                  <c:v>1189.4000000000001</c:v>
                </c:pt>
                <c:pt idx="7">
                  <c:v>1189</c:v>
                </c:pt>
                <c:pt idx="8">
                  <c:v>1188.5999999999999</c:v>
                </c:pt>
                <c:pt idx="9">
                  <c:v>1188.5999999999999</c:v>
                </c:pt>
                <c:pt idx="10">
                  <c:v>1188.3</c:v>
                </c:pt>
                <c:pt idx="11">
                  <c:v>1187.8</c:v>
                </c:pt>
                <c:pt idx="12">
                  <c:v>1187.2</c:v>
                </c:pt>
                <c:pt idx="13">
                  <c:v>1186.8</c:v>
                </c:pt>
                <c:pt idx="14">
                  <c:v>1186.2</c:v>
                </c:pt>
                <c:pt idx="15">
                  <c:v>1185.9000000000001</c:v>
                </c:pt>
                <c:pt idx="16">
                  <c:v>1185.5999999999999</c:v>
                </c:pt>
                <c:pt idx="17">
                  <c:v>1185.5</c:v>
                </c:pt>
                <c:pt idx="18">
                  <c:v>1185.4000000000001</c:v>
                </c:pt>
                <c:pt idx="19">
                  <c:v>1185.5999999999999</c:v>
                </c:pt>
                <c:pt idx="20">
                  <c:v>1185.7</c:v>
                </c:pt>
                <c:pt idx="21">
                  <c:v>1185.8</c:v>
                </c:pt>
                <c:pt idx="22">
                  <c:v>1185.7</c:v>
                </c:pt>
                <c:pt idx="23">
                  <c:v>1185.7</c:v>
                </c:pt>
                <c:pt idx="24">
                  <c:v>1185.5999999999999</c:v>
                </c:pt>
                <c:pt idx="25">
                  <c:v>1185</c:v>
                </c:pt>
                <c:pt idx="26">
                  <c:v>1184.4000000000001</c:v>
                </c:pt>
                <c:pt idx="27">
                  <c:v>1183.7</c:v>
                </c:pt>
                <c:pt idx="28">
                  <c:v>1182.8</c:v>
                </c:pt>
                <c:pt idx="29">
                  <c:v>1181.9000000000001</c:v>
                </c:pt>
                <c:pt idx="30">
                  <c:v>1180.7</c:v>
                </c:pt>
                <c:pt idx="31">
                  <c:v>1179.5</c:v>
                </c:pt>
                <c:pt idx="32">
                  <c:v>1178.5</c:v>
                </c:pt>
                <c:pt idx="33">
                  <c:v>1177.2</c:v>
                </c:pt>
                <c:pt idx="34">
                  <c:v>1176.4000000000001</c:v>
                </c:pt>
                <c:pt idx="35">
                  <c:v>1175.8</c:v>
                </c:pt>
                <c:pt idx="36">
                  <c:v>1175.7</c:v>
                </c:pt>
                <c:pt idx="37">
                  <c:v>1175.4000000000001</c:v>
                </c:pt>
                <c:pt idx="38">
                  <c:v>1175.2</c:v>
                </c:pt>
                <c:pt idx="39">
                  <c:v>1175.2</c:v>
                </c:pt>
                <c:pt idx="40">
                  <c:v>1175.4000000000001</c:v>
                </c:pt>
                <c:pt idx="41">
                  <c:v>1175.5999999999999</c:v>
                </c:pt>
                <c:pt idx="42">
                  <c:v>1175.9000000000001</c:v>
                </c:pt>
                <c:pt idx="43">
                  <c:v>1176.2</c:v>
                </c:pt>
                <c:pt idx="44">
                  <c:v>1176.8</c:v>
                </c:pt>
                <c:pt idx="45">
                  <c:v>1177.4000000000001</c:v>
                </c:pt>
                <c:pt idx="46">
                  <c:v>1178.0999999999999</c:v>
                </c:pt>
                <c:pt idx="47">
                  <c:v>1178.5999999999999</c:v>
                </c:pt>
                <c:pt idx="48">
                  <c:v>1178.9000000000001</c:v>
                </c:pt>
                <c:pt idx="49">
                  <c:v>1179.0999999999999</c:v>
                </c:pt>
                <c:pt idx="50">
                  <c:v>1179.5999999999999</c:v>
                </c:pt>
                <c:pt idx="51">
                  <c:v>1180.2</c:v>
                </c:pt>
                <c:pt idx="52">
                  <c:v>1181.0999999999999</c:v>
                </c:pt>
                <c:pt idx="53">
                  <c:v>1181.7</c:v>
                </c:pt>
                <c:pt idx="54">
                  <c:v>1182.7</c:v>
                </c:pt>
                <c:pt idx="55">
                  <c:v>1183.9000000000001</c:v>
                </c:pt>
                <c:pt idx="56">
                  <c:v>1185.0999999999999</c:v>
                </c:pt>
                <c:pt idx="57">
                  <c:v>1185.9000000000001</c:v>
                </c:pt>
                <c:pt idx="58">
                  <c:v>1187</c:v>
                </c:pt>
                <c:pt idx="59">
                  <c:v>1187.8</c:v>
                </c:pt>
                <c:pt idx="60">
                  <c:v>1188.4000000000001</c:v>
                </c:pt>
                <c:pt idx="61">
                  <c:v>1188.5999999999999</c:v>
                </c:pt>
                <c:pt idx="62">
                  <c:v>1188.8</c:v>
                </c:pt>
                <c:pt idx="63">
                  <c:v>1188.8</c:v>
                </c:pt>
                <c:pt idx="64">
                  <c:v>1187.5999999999999</c:v>
                </c:pt>
                <c:pt idx="65">
                  <c:v>1186.3</c:v>
                </c:pt>
                <c:pt idx="66">
                  <c:v>1185.3</c:v>
                </c:pt>
                <c:pt idx="67">
                  <c:v>1184</c:v>
                </c:pt>
                <c:pt idx="68">
                  <c:v>1182.4000000000001</c:v>
                </c:pt>
                <c:pt idx="69">
                  <c:v>1180.5999999999999</c:v>
                </c:pt>
                <c:pt idx="70">
                  <c:v>1178.8</c:v>
                </c:pt>
                <c:pt idx="71">
                  <c:v>1177</c:v>
                </c:pt>
                <c:pt idx="72">
                  <c:v>1175.2</c:v>
                </c:pt>
                <c:pt idx="73">
                  <c:v>1173.7</c:v>
                </c:pt>
                <c:pt idx="74">
                  <c:v>1172.3</c:v>
                </c:pt>
                <c:pt idx="75">
                  <c:v>1171</c:v>
                </c:pt>
                <c:pt idx="76">
                  <c:v>1169.5999999999999</c:v>
                </c:pt>
                <c:pt idx="77">
                  <c:v>1168.0999999999999</c:v>
                </c:pt>
                <c:pt idx="78">
                  <c:v>1166.7</c:v>
                </c:pt>
                <c:pt idx="79">
                  <c:v>1165.3</c:v>
                </c:pt>
                <c:pt idx="80">
                  <c:v>1163.8</c:v>
                </c:pt>
                <c:pt idx="81">
                  <c:v>1162.3</c:v>
                </c:pt>
                <c:pt idx="82">
                  <c:v>1161</c:v>
                </c:pt>
                <c:pt idx="83">
                  <c:v>1159.8</c:v>
                </c:pt>
                <c:pt idx="84">
                  <c:v>1158.5999999999999</c:v>
                </c:pt>
                <c:pt idx="85">
                  <c:v>1157.5</c:v>
                </c:pt>
                <c:pt idx="86">
                  <c:v>1156.4000000000001</c:v>
                </c:pt>
                <c:pt idx="87">
                  <c:v>1155.3</c:v>
                </c:pt>
                <c:pt idx="88">
                  <c:v>1154.2</c:v>
                </c:pt>
                <c:pt idx="89">
                  <c:v>1154.0999999999999</c:v>
                </c:pt>
              </c:numCache>
            </c:numRef>
          </c:val>
          <c:smooth val="0"/>
          <c:extLst>
            <c:ext xmlns:c16="http://schemas.microsoft.com/office/drawing/2014/chart" uri="{C3380CC4-5D6E-409C-BE32-E72D297353CC}">
              <c16:uniqueId val="{00000005-C1CA-40A5-8886-AD3CD284C7E6}"/>
            </c:ext>
          </c:extLst>
        </c:ser>
        <c:dLbls>
          <c:showLegendKey val="0"/>
          <c:showVal val="0"/>
          <c:showCatName val="0"/>
          <c:showSerName val="0"/>
          <c:showPercent val="0"/>
          <c:showBubbleSize val="0"/>
        </c:dLbls>
        <c:axId val="810033880"/>
        <c:axId val="810042080"/>
      </c:stockChart>
      <c:valAx>
        <c:axId val="153493888"/>
        <c:scaling>
          <c:orientation val="minMax"/>
        </c:scaling>
        <c:delete val="0"/>
        <c:axPos val="l"/>
        <c:majorGridlines>
          <c:spPr>
            <a:ln w="9525" cap="flat" cmpd="sng" algn="ctr">
              <a:solidFill>
                <a:schemeClr val="bg1">
                  <a:lumMod val="50000"/>
                </a:schemeClr>
              </a:solidFill>
              <a:prstDash val="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5808"/>
        <c:crosses val="autoZero"/>
        <c:crossBetween val="between"/>
      </c:valAx>
      <c:catAx>
        <c:axId val="153495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3888"/>
        <c:crosses val="autoZero"/>
        <c:auto val="0"/>
        <c:lblAlgn val="ctr"/>
        <c:lblOffset val="100"/>
        <c:noMultiLvlLbl val="1"/>
      </c:catAx>
      <c:valAx>
        <c:axId val="810042080"/>
        <c:scaling>
          <c:orientation val="minMax"/>
        </c:scaling>
        <c:delete val="0"/>
        <c:axPos val="l"/>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10033880"/>
        <c:crosses val="autoZero"/>
        <c:crossBetween val="between"/>
      </c:valAx>
      <c:catAx>
        <c:axId val="810033880"/>
        <c:scaling>
          <c:orientation val="minMax"/>
        </c:scaling>
        <c:delete val="1"/>
        <c:axPos val="b"/>
        <c:numFmt formatCode="General" sourceLinked="1"/>
        <c:majorTickMark val="out"/>
        <c:minorTickMark val="none"/>
        <c:tickLblPos val="nextTo"/>
        <c:crossAx val="810042080"/>
        <c:crosses val="autoZero"/>
        <c:auto val="0"/>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832817850697917E-2"/>
          <c:y val="9.1397870567007003E-2"/>
          <c:w val="0.91282968318808966"/>
          <c:h val="0.61949044869354042"/>
        </c:manualLayout>
      </c:layout>
      <c:barChart>
        <c:barDir val="col"/>
        <c:grouping val="clustered"/>
        <c:varyColors val="0"/>
        <c:ser>
          <c:idx val="0"/>
          <c:order val="0"/>
          <c:tx>
            <c:strRef>
              <c:f>'トリガー発注 (2)'!$F$50</c:f>
              <c:strCache>
                <c:ptCount val="1"/>
                <c:pt idx="0">
                  <c:v>出来高</c:v>
                </c:pt>
              </c:strCache>
            </c:strRef>
          </c:tx>
          <c:spPr>
            <a:solidFill>
              <a:schemeClr val="accent1"/>
            </a:solidFill>
            <a:ln>
              <a:noFill/>
            </a:ln>
            <a:effectLst/>
          </c:spPr>
          <c:invertIfNegative val="0"/>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(2)'!$F$51:$F$140</c:f>
              <c:numCache>
                <c:formatCode>#,##0</c:formatCode>
                <c:ptCount val="90"/>
                <c:pt idx="0">
                  <c:v>578900</c:v>
                </c:pt>
                <c:pt idx="1">
                  <c:v>226700</c:v>
                </c:pt>
                <c:pt idx="2">
                  <c:v>174200</c:v>
                </c:pt>
                <c:pt idx="3">
                  <c:v>135900</c:v>
                </c:pt>
                <c:pt idx="4">
                  <c:v>87600</c:v>
                </c:pt>
                <c:pt idx="5">
                  <c:v>109700</c:v>
                </c:pt>
                <c:pt idx="6">
                  <c:v>40900</c:v>
                </c:pt>
                <c:pt idx="7">
                  <c:v>50200</c:v>
                </c:pt>
                <c:pt idx="8">
                  <c:v>124800</c:v>
                </c:pt>
                <c:pt idx="9">
                  <c:v>68500</c:v>
                </c:pt>
                <c:pt idx="10">
                  <c:v>47800</c:v>
                </c:pt>
                <c:pt idx="11">
                  <c:v>112300</c:v>
                </c:pt>
                <c:pt idx="12">
                  <c:v>94900</c:v>
                </c:pt>
                <c:pt idx="13">
                  <c:v>63500</c:v>
                </c:pt>
                <c:pt idx="14">
                  <c:v>70500</c:v>
                </c:pt>
                <c:pt idx="15">
                  <c:v>14100</c:v>
                </c:pt>
                <c:pt idx="16">
                  <c:v>214600</c:v>
                </c:pt>
                <c:pt idx="17">
                  <c:v>35300</c:v>
                </c:pt>
                <c:pt idx="18">
                  <c:v>34900</c:v>
                </c:pt>
                <c:pt idx="19">
                  <c:v>34900</c:v>
                </c:pt>
                <c:pt idx="20">
                  <c:v>111300</c:v>
                </c:pt>
                <c:pt idx="21">
                  <c:v>46300</c:v>
                </c:pt>
                <c:pt idx="22">
                  <c:v>20100</c:v>
                </c:pt>
                <c:pt idx="23">
                  <c:v>56400</c:v>
                </c:pt>
                <c:pt idx="24">
                  <c:v>39200</c:v>
                </c:pt>
                <c:pt idx="25">
                  <c:v>106400</c:v>
                </c:pt>
                <c:pt idx="26">
                  <c:v>292300</c:v>
                </c:pt>
                <c:pt idx="27">
                  <c:v>525400</c:v>
                </c:pt>
                <c:pt idx="28">
                  <c:v>286400</c:v>
                </c:pt>
                <c:pt idx="29">
                  <c:v>328200</c:v>
                </c:pt>
                <c:pt idx="30">
                  <c:v>376400</c:v>
                </c:pt>
                <c:pt idx="31">
                  <c:v>1960100</c:v>
                </c:pt>
                <c:pt idx="32">
                  <c:v>565900</c:v>
                </c:pt>
                <c:pt idx="33">
                  <c:v>349900</c:v>
                </c:pt>
                <c:pt idx="34">
                  <c:v>308900</c:v>
                </c:pt>
                <c:pt idx="35">
                  <c:v>202900</c:v>
                </c:pt>
                <c:pt idx="36">
                  <c:v>207400</c:v>
                </c:pt>
                <c:pt idx="37">
                  <c:v>159700</c:v>
                </c:pt>
                <c:pt idx="38">
                  <c:v>154400</c:v>
                </c:pt>
                <c:pt idx="39">
                  <c:v>235500</c:v>
                </c:pt>
                <c:pt idx="40">
                  <c:v>147300</c:v>
                </c:pt>
                <c:pt idx="41">
                  <c:v>166000</c:v>
                </c:pt>
                <c:pt idx="42">
                  <c:v>167100</c:v>
                </c:pt>
                <c:pt idx="43">
                  <c:v>106900</c:v>
                </c:pt>
                <c:pt idx="44">
                  <c:v>145100</c:v>
                </c:pt>
                <c:pt idx="45">
                  <c:v>103600</c:v>
                </c:pt>
                <c:pt idx="46">
                  <c:v>94200</c:v>
                </c:pt>
                <c:pt idx="47">
                  <c:v>2300</c:v>
                </c:pt>
                <c:pt idx="48">
                  <c:v>183600</c:v>
                </c:pt>
                <c:pt idx="49">
                  <c:v>152000</c:v>
                </c:pt>
                <c:pt idx="50">
                  <c:v>53800</c:v>
                </c:pt>
                <c:pt idx="51">
                  <c:v>122000</c:v>
                </c:pt>
                <c:pt idx="52">
                  <c:v>81900</c:v>
                </c:pt>
                <c:pt idx="53">
                  <c:v>117400</c:v>
                </c:pt>
                <c:pt idx="54">
                  <c:v>63400</c:v>
                </c:pt>
                <c:pt idx="55">
                  <c:v>67200</c:v>
                </c:pt>
                <c:pt idx="56">
                  <c:v>35000</c:v>
                </c:pt>
                <c:pt idx="57">
                  <c:v>113600</c:v>
                </c:pt>
                <c:pt idx="58">
                  <c:v>112300</c:v>
                </c:pt>
                <c:pt idx="59">
                  <c:v>117000</c:v>
                </c:pt>
                <c:pt idx="60">
                  <c:v>355900</c:v>
                </c:pt>
                <c:pt idx="61">
                  <c:v>201900</c:v>
                </c:pt>
                <c:pt idx="62">
                  <c:v>347400</c:v>
                </c:pt>
                <c:pt idx="63">
                  <c:v>793700</c:v>
                </c:pt>
                <c:pt idx="64">
                  <c:v>935500</c:v>
                </c:pt>
                <c:pt idx="65">
                  <c:v>234100</c:v>
                </c:pt>
                <c:pt idx="66">
                  <c:v>215100</c:v>
                </c:pt>
                <c:pt idx="67">
                  <c:v>164600</c:v>
                </c:pt>
                <c:pt idx="68">
                  <c:v>180600</c:v>
                </c:pt>
                <c:pt idx="69">
                  <c:v>80300</c:v>
                </c:pt>
                <c:pt idx="70">
                  <c:v>155800</c:v>
                </c:pt>
                <c:pt idx="71">
                  <c:v>116200</c:v>
                </c:pt>
                <c:pt idx="72">
                  <c:v>94400</c:v>
                </c:pt>
                <c:pt idx="73">
                  <c:v>208700</c:v>
                </c:pt>
                <c:pt idx="74">
                  <c:v>178300</c:v>
                </c:pt>
                <c:pt idx="75">
                  <c:v>192000</c:v>
                </c:pt>
                <c:pt idx="76">
                  <c:v>57900</c:v>
                </c:pt>
                <c:pt idx="77">
                  <c:v>97200</c:v>
                </c:pt>
                <c:pt idx="78">
                  <c:v>61700</c:v>
                </c:pt>
                <c:pt idx="79">
                  <c:v>9000</c:v>
                </c:pt>
                <c:pt idx="80">
                  <c:v>187800</c:v>
                </c:pt>
                <c:pt idx="81">
                  <c:v>137500</c:v>
                </c:pt>
                <c:pt idx="82">
                  <c:v>59600</c:v>
                </c:pt>
                <c:pt idx="83">
                  <c:v>114200</c:v>
                </c:pt>
                <c:pt idx="84">
                  <c:v>92500</c:v>
                </c:pt>
                <c:pt idx="85">
                  <c:v>68800</c:v>
                </c:pt>
                <c:pt idx="86">
                  <c:v>81700</c:v>
                </c:pt>
                <c:pt idx="87">
                  <c:v>91200</c:v>
                </c:pt>
                <c:pt idx="88">
                  <c:v>255100</c:v>
                </c:pt>
                <c:pt idx="89">
                  <c:v>96600</c:v>
                </c:pt>
              </c:numCache>
            </c:numRef>
          </c:val>
          <c:extLst>
            <c:ext xmlns:c16="http://schemas.microsoft.com/office/drawing/2014/chart" uri="{C3380CC4-5D6E-409C-BE32-E72D297353CC}">
              <c16:uniqueId val="{00000000-4F25-4E8B-8DB5-6EA9B6DAB9FF}"/>
            </c:ext>
          </c:extLst>
        </c:ser>
        <c:dLbls>
          <c:showLegendKey val="0"/>
          <c:showVal val="0"/>
          <c:showCatName val="0"/>
          <c:showSerName val="0"/>
          <c:showPercent val="0"/>
          <c:showBubbleSize val="0"/>
        </c:dLbls>
        <c:gapWidth val="219"/>
        <c:overlap val="-27"/>
        <c:axId val="768532792"/>
        <c:axId val="768534432"/>
      </c:barChart>
      <c:catAx>
        <c:axId val="768532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4432"/>
        <c:crosses val="autoZero"/>
        <c:auto val="0"/>
        <c:lblAlgn val="ctr"/>
        <c:lblOffset val="100"/>
        <c:noMultiLvlLbl val="0"/>
      </c:catAx>
      <c:valAx>
        <c:axId val="768534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2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100853</xdr:colOff>
      <xdr:row>39</xdr:row>
      <xdr:rowOff>22412</xdr:rowOff>
    </xdr:from>
    <xdr:to>
      <xdr:col>10</xdr:col>
      <xdr:colOff>266380</xdr:colOff>
      <xdr:row>41</xdr:row>
      <xdr:rowOff>26255</xdr:rowOff>
    </xdr:to>
    <xdr:sp macro="[0]!CommandButton41_Click" textlink="">
      <xdr:nvSpPr>
        <xdr:cNvPr id="5" name="四角形: 角を丸くする 4">
          <a:extLst>
            <a:ext uri="{FF2B5EF4-FFF2-40B4-BE49-F238E27FC236}">
              <a16:creationId xmlns:a16="http://schemas.microsoft.com/office/drawing/2014/main" id="{D3243C96-A52F-4151-A984-283DE7E55379}"/>
            </a:ext>
          </a:extLst>
        </xdr:cNvPr>
        <xdr:cNvSpPr/>
      </xdr:nvSpPr>
      <xdr:spPr>
        <a:xfrm>
          <a:off x="1008529" y="9188824"/>
          <a:ext cx="2283439" cy="429666"/>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3</xdr:col>
      <xdr:colOff>89646</xdr:colOff>
      <xdr:row>41</xdr:row>
      <xdr:rowOff>81699</xdr:rowOff>
    </xdr:from>
    <xdr:to>
      <xdr:col>10</xdr:col>
      <xdr:colOff>280147</xdr:colOff>
      <xdr:row>43</xdr:row>
      <xdr:rowOff>88806</xdr:rowOff>
    </xdr:to>
    <xdr:sp macro="[0]!CommandButton42_Click" textlink="">
      <xdr:nvSpPr>
        <xdr:cNvPr id="6" name="四角形: 角を丸くする 5">
          <a:extLst>
            <a:ext uri="{FF2B5EF4-FFF2-40B4-BE49-F238E27FC236}">
              <a16:creationId xmlns:a16="http://schemas.microsoft.com/office/drawing/2014/main" id="{8A19CBF2-CB10-4EAB-988D-ADA321E46ED1}"/>
            </a:ext>
          </a:extLst>
        </xdr:cNvPr>
        <xdr:cNvSpPr/>
      </xdr:nvSpPr>
      <xdr:spPr>
        <a:xfrm>
          <a:off x="997322" y="9673934"/>
          <a:ext cx="2308413" cy="432931"/>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3</xdr:col>
      <xdr:colOff>89648</xdr:colOff>
      <xdr:row>43</xdr:row>
      <xdr:rowOff>145676</xdr:rowOff>
    </xdr:from>
    <xdr:to>
      <xdr:col>10</xdr:col>
      <xdr:colOff>273425</xdr:colOff>
      <xdr:row>45</xdr:row>
      <xdr:rowOff>152783</xdr:rowOff>
    </xdr:to>
    <xdr:sp macro="[0]!CommandButton62_Click" textlink="">
      <xdr:nvSpPr>
        <xdr:cNvPr id="7" name="四角形: 角を丸くする 6">
          <a:extLst>
            <a:ext uri="{FF2B5EF4-FFF2-40B4-BE49-F238E27FC236}">
              <a16:creationId xmlns:a16="http://schemas.microsoft.com/office/drawing/2014/main" id="{F50D8E7C-DED4-4DFD-9F0F-D80B6B02AF02}"/>
            </a:ext>
          </a:extLst>
        </xdr:cNvPr>
        <xdr:cNvSpPr/>
      </xdr:nvSpPr>
      <xdr:spPr>
        <a:xfrm>
          <a:off x="997324" y="10163735"/>
          <a:ext cx="2301689" cy="432930"/>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50746</xdr:colOff>
      <xdr:row>8</xdr:row>
      <xdr:rowOff>169208</xdr:rowOff>
    </xdr:from>
    <xdr:to>
      <xdr:col>1</xdr:col>
      <xdr:colOff>19528</xdr:colOff>
      <xdr:row>10</xdr:row>
      <xdr:rowOff>14055</xdr:rowOff>
    </xdr:to>
    <xdr:sp macro="" textlink="">
      <xdr:nvSpPr>
        <xdr:cNvPr id="5" name="楕円 4">
          <a:extLst>
            <a:ext uri="{FF2B5EF4-FFF2-40B4-BE49-F238E27FC236}">
              <a16:creationId xmlns:a16="http://schemas.microsoft.com/office/drawing/2014/main" id="{959221CD-1D8F-4B0C-9E5A-32568E440C44}"/>
            </a:ext>
          </a:extLst>
        </xdr:cNvPr>
        <xdr:cNvSpPr/>
      </xdr:nvSpPr>
      <xdr:spPr>
        <a:xfrm>
          <a:off x="50746" y="2312333"/>
          <a:ext cx="664107" cy="321097"/>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5</xdr:col>
      <xdr:colOff>598393</xdr:colOff>
      <xdr:row>5</xdr:row>
      <xdr:rowOff>199465</xdr:rowOff>
    </xdr:from>
    <xdr:to>
      <xdr:col>9</xdr:col>
      <xdr:colOff>57949</xdr:colOff>
      <xdr:row>8</xdr:row>
      <xdr:rowOff>24014</xdr:rowOff>
    </xdr:to>
    <xdr:sp macro="[0]!CommandButton41_Click" textlink="">
      <xdr:nvSpPr>
        <xdr:cNvPr id="7" name="四角形: 角を丸くする 6">
          <a:extLst>
            <a:ext uri="{FF2B5EF4-FFF2-40B4-BE49-F238E27FC236}">
              <a16:creationId xmlns:a16="http://schemas.microsoft.com/office/drawing/2014/main" id="{0606E0C2-F1ED-4852-A8BB-F176ED296DFA}"/>
            </a:ext>
          </a:extLst>
        </xdr:cNvPr>
        <xdr:cNvSpPr/>
      </xdr:nvSpPr>
      <xdr:spPr>
        <a:xfrm>
          <a:off x="3792069" y="1320053"/>
          <a:ext cx="2283439" cy="429667"/>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9</xdr:col>
      <xdr:colOff>463920</xdr:colOff>
      <xdr:row>6</xdr:row>
      <xdr:rowOff>1015</xdr:rowOff>
    </xdr:from>
    <xdr:to>
      <xdr:col>13</xdr:col>
      <xdr:colOff>275023</xdr:colOff>
      <xdr:row>8</xdr:row>
      <xdr:rowOff>30535</xdr:rowOff>
    </xdr:to>
    <xdr:sp macro="[0]!CommandButton42_Click" textlink="">
      <xdr:nvSpPr>
        <xdr:cNvPr id="8" name="四角形: 角を丸くする 7">
          <a:extLst>
            <a:ext uri="{FF2B5EF4-FFF2-40B4-BE49-F238E27FC236}">
              <a16:creationId xmlns:a16="http://schemas.microsoft.com/office/drawing/2014/main" id="{3C4DF41C-5267-4F27-8B7E-27CEC7D97F17}"/>
            </a:ext>
          </a:extLst>
        </xdr:cNvPr>
        <xdr:cNvSpPr/>
      </xdr:nvSpPr>
      <xdr:spPr>
        <a:xfrm>
          <a:off x="6481479" y="1323309"/>
          <a:ext cx="2377250" cy="432932"/>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5</xdr:col>
      <xdr:colOff>374895</xdr:colOff>
      <xdr:row>5</xdr:row>
      <xdr:rowOff>91965</xdr:rowOff>
    </xdr:from>
    <xdr:to>
      <xdr:col>5</xdr:col>
      <xdr:colOff>647701</xdr:colOff>
      <xdr:row>6</xdr:row>
      <xdr:rowOff>144517</xdr:rowOff>
    </xdr:to>
    <xdr:sp macro="" textlink="">
      <xdr:nvSpPr>
        <xdr:cNvPr id="4" name="楕円 3">
          <a:extLst>
            <a:ext uri="{FF2B5EF4-FFF2-40B4-BE49-F238E27FC236}">
              <a16:creationId xmlns:a16="http://schemas.microsoft.com/office/drawing/2014/main" id="{CF0129D3-CA57-44E8-8D6D-722568EE3FE9}"/>
            </a:ext>
          </a:extLst>
        </xdr:cNvPr>
        <xdr:cNvSpPr/>
      </xdr:nvSpPr>
      <xdr:spPr>
        <a:xfrm>
          <a:off x="3565770" y="1454040"/>
          <a:ext cx="272806" cy="252577"/>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9</xdr:col>
      <xdr:colOff>238005</xdr:colOff>
      <xdr:row>5</xdr:row>
      <xdr:rowOff>86447</xdr:rowOff>
    </xdr:from>
    <xdr:to>
      <xdr:col>9</xdr:col>
      <xdr:colOff>512548</xdr:colOff>
      <xdr:row>6</xdr:row>
      <xdr:rowOff>144207</xdr:rowOff>
    </xdr:to>
    <xdr:sp macro="" textlink="">
      <xdr:nvSpPr>
        <xdr:cNvPr id="6" name="楕円 5">
          <a:extLst>
            <a:ext uri="{FF2B5EF4-FFF2-40B4-BE49-F238E27FC236}">
              <a16:creationId xmlns:a16="http://schemas.microsoft.com/office/drawing/2014/main" id="{8778BE77-650A-4A2D-9343-E02C3D9432CB}"/>
            </a:ext>
          </a:extLst>
        </xdr:cNvPr>
        <xdr:cNvSpPr/>
      </xdr:nvSpPr>
      <xdr:spPr>
        <a:xfrm>
          <a:off x="6255564" y="1207035"/>
          <a:ext cx="274543" cy="25946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33618</xdr:colOff>
      <xdr:row>8</xdr:row>
      <xdr:rowOff>158003</xdr:rowOff>
    </xdr:from>
    <xdr:to>
      <xdr:col>1</xdr:col>
      <xdr:colOff>2400</xdr:colOff>
      <xdr:row>10</xdr:row>
      <xdr:rowOff>2849</xdr:rowOff>
    </xdr:to>
    <xdr:sp macro="" textlink="">
      <xdr:nvSpPr>
        <xdr:cNvPr id="5" name="楕円 4">
          <a:extLst>
            <a:ext uri="{FF2B5EF4-FFF2-40B4-BE49-F238E27FC236}">
              <a16:creationId xmlns:a16="http://schemas.microsoft.com/office/drawing/2014/main" id="{844BEA25-AFC7-4809-9DAF-D3F97ABCE3D3}"/>
            </a:ext>
          </a:extLst>
        </xdr:cNvPr>
        <xdr:cNvSpPr/>
      </xdr:nvSpPr>
      <xdr:spPr>
        <a:xfrm>
          <a:off x="33618" y="2301128"/>
          <a:ext cx="654582" cy="32109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5</xdr:col>
      <xdr:colOff>284629</xdr:colOff>
      <xdr:row>6</xdr:row>
      <xdr:rowOff>0</xdr:rowOff>
    </xdr:from>
    <xdr:to>
      <xdr:col>8</xdr:col>
      <xdr:colOff>497219</xdr:colOff>
      <xdr:row>8</xdr:row>
      <xdr:rowOff>26254</xdr:rowOff>
    </xdr:to>
    <xdr:sp macro="[0]!CommandButton51_Click" textlink="">
      <xdr:nvSpPr>
        <xdr:cNvPr id="7" name="四角形: 角を丸くする 6">
          <a:extLst>
            <a:ext uri="{FF2B5EF4-FFF2-40B4-BE49-F238E27FC236}">
              <a16:creationId xmlns:a16="http://schemas.microsoft.com/office/drawing/2014/main" id="{AD652F93-D3CD-472C-9B29-0D5563636C86}"/>
            </a:ext>
          </a:extLst>
        </xdr:cNvPr>
        <xdr:cNvSpPr/>
      </xdr:nvSpPr>
      <xdr:spPr>
        <a:xfrm>
          <a:off x="3332629" y="1546412"/>
          <a:ext cx="2330502" cy="429666"/>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8</xdr:col>
      <xdr:colOff>858367</xdr:colOff>
      <xdr:row>6</xdr:row>
      <xdr:rowOff>3256</xdr:rowOff>
    </xdr:from>
    <xdr:to>
      <xdr:col>12</xdr:col>
      <xdr:colOff>26253</xdr:colOff>
      <xdr:row>8</xdr:row>
      <xdr:rowOff>32775</xdr:rowOff>
    </xdr:to>
    <xdr:sp macro="[0]!CommandButton52_Click" textlink="">
      <xdr:nvSpPr>
        <xdr:cNvPr id="8" name="四角形: 角を丸くする 7">
          <a:extLst>
            <a:ext uri="{FF2B5EF4-FFF2-40B4-BE49-F238E27FC236}">
              <a16:creationId xmlns:a16="http://schemas.microsoft.com/office/drawing/2014/main" id="{38F1B65F-1BA0-431D-98B3-87853E59DF6C}"/>
            </a:ext>
          </a:extLst>
        </xdr:cNvPr>
        <xdr:cNvSpPr/>
      </xdr:nvSpPr>
      <xdr:spPr>
        <a:xfrm>
          <a:off x="6024279" y="1549668"/>
          <a:ext cx="2383974" cy="432931"/>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5</xdr:col>
      <xdr:colOff>106138</xdr:colOff>
      <xdr:row>5</xdr:row>
      <xdr:rowOff>78440</xdr:rowOff>
    </xdr:from>
    <xdr:to>
      <xdr:col>5</xdr:col>
      <xdr:colOff>377478</xdr:colOff>
      <xdr:row>6</xdr:row>
      <xdr:rowOff>128994</xdr:rowOff>
    </xdr:to>
    <xdr:sp macro="" textlink="">
      <xdr:nvSpPr>
        <xdr:cNvPr id="4" name="楕円 3">
          <a:extLst>
            <a:ext uri="{FF2B5EF4-FFF2-40B4-BE49-F238E27FC236}">
              <a16:creationId xmlns:a16="http://schemas.microsoft.com/office/drawing/2014/main" id="{0AC293C4-5F2D-43EE-8B82-1E4B2D466C42}"/>
            </a:ext>
          </a:extLst>
        </xdr:cNvPr>
        <xdr:cNvSpPr/>
      </xdr:nvSpPr>
      <xdr:spPr>
        <a:xfrm>
          <a:off x="3154138" y="1423146"/>
          <a:ext cx="271340" cy="252260"/>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8</xdr:col>
      <xdr:colOff>664670</xdr:colOff>
      <xdr:row>5</xdr:row>
      <xdr:rowOff>79881</xdr:rowOff>
    </xdr:from>
    <xdr:to>
      <xdr:col>9</xdr:col>
      <xdr:colOff>53948</xdr:colOff>
      <xdr:row>6</xdr:row>
      <xdr:rowOff>137640</xdr:rowOff>
    </xdr:to>
    <xdr:sp macro="" textlink="">
      <xdr:nvSpPr>
        <xdr:cNvPr id="6" name="楕円 5">
          <a:extLst>
            <a:ext uri="{FF2B5EF4-FFF2-40B4-BE49-F238E27FC236}">
              <a16:creationId xmlns:a16="http://schemas.microsoft.com/office/drawing/2014/main" id="{E755D908-FE44-47D7-B688-12F5C8319566}"/>
            </a:ext>
          </a:extLst>
        </xdr:cNvPr>
        <xdr:cNvSpPr/>
      </xdr:nvSpPr>
      <xdr:spPr>
        <a:xfrm>
          <a:off x="5830582" y="1424587"/>
          <a:ext cx="274542" cy="259465"/>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44263</xdr:colOff>
      <xdr:row>21</xdr:row>
      <xdr:rowOff>190501</xdr:rowOff>
    </xdr:from>
    <xdr:to>
      <xdr:col>12</xdr:col>
      <xdr:colOff>2068</xdr:colOff>
      <xdr:row>39</xdr:row>
      <xdr:rowOff>156883</xdr:rowOff>
    </xdr:to>
    <xdr:graphicFrame macro="">
      <xdr:nvGraphicFramePr>
        <xdr:cNvPr id="3" name="グラフ 2">
          <a:extLst>
            <a:ext uri="{FF2B5EF4-FFF2-40B4-BE49-F238E27FC236}">
              <a16:creationId xmlns:a16="http://schemas.microsoft.com/office/drawing/2014/main" id="{3F69F097-2ED2-449D-BAE9-DAB8D92B0C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503464</xdr:colOff>
      <xdr:row>13</xdr:row>
      <xdr:rowOff>54427</xdr:rowOff>
    </xdr:from>
    <xdr:to>
      <xdr:col>10</xdr:col>
      <xdr:colOff>23210</xdr:colOff>
      <xdr:row>14</xdr:row>
      <xdr:rowOff>112185</xdr:rowOff>
    </xdr:to>
    <xdr:sp macro="" textlink="">
      <xdr:nvSpPr>
        <xdr:cNvPr id="4" name="楕円 3">
          <a:extLst>
            <a:ext uri="{FF2B5EF4-FFF2-40B4-BE49-F238E27FC236}">
              <a16:creationId xmlns:a16="http://schemas.microsoft.com/office/drawing/2014/main" id="{B867D792-3861-4469-820B-93FA00B64CFA}"/>
            </a:ext>
          </a:extLst>
        </xdr:cNvPr>
        <xdr:cNvSpPr/>
      </xdr:nvSpPr>
      <xdr:spPr>
        <a:xfrm>
          <a:off x="6675664" y="3150052"/>
          <a:ext cx="205546"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7</xdr:col>
      <xdr:colOff>712623</xdr:colOff>
      <xdr:row>17</xdr:row>
      <xdr:rowOff>96422</xdr:rowOff>
    </xdr:from>
    <xdr:to>
      <xdr:col>8</xdr:col>
      <xdr:colOff>59530</xdr:colOff>
      <xdr:row>18</xdr:row>
      <xdr:rowOff>142525</xdr:rowOff>
    </xdr:to>
    <xdr:sp macro="" textlink="">
      <xdr:nvSpPr>
        <xdr:cNvPr id="5" name="楕円 4">
          <a:extLst>
            <a:ext uri="{FF2B5EF4-FFF2-40B4-BE49-F238E27FC236}">
              <a16:creationId xmlns:a16="http://schemas.microsoft.com/office/drawing/2014/main" id="{B7FD0DB1-4FBE-4718-9AF6-CF1222EC7294}"/>
            </a:ext>
          </a:extLst>
        </xdr:cNvPr>
        <xdr:cNvSpPr/>
      </xdr:nvSpPr>
      <xdr:spPr>
        <a:xfrm>
          <a:off x="6647889" y="3769500"/>
          <a:ext cx="269641" cy="248509"/>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1041508</xdr:colOff>
      <xdr:row>23</xdr:row>
      <xdr:rowOff>52188</xdr:rowOff>
    </xdr:from>
    <xdr:to>
      <xdr:col>14</xdr:col>
      <xdr:colOff>112218</xdr:colOff>
      <xdr:row>24</xdr:row>
      <xdr:rowOff>109946</xdr:rowOff>
    </xdr:to>
    <xdr:sp macro="" textlink="">
      <xdr:nvSpPr>
        <xdr:cNvPr id="7" name="楕円 6">
          <a:extLst>
            <a:ext uri="{FF2B5EF4-FFF2-40B4-BE49-F238E27FC236}">
              <a16:creationId xmlns:a16="http://schemas.microsoft.com/office/drawing/2014/main" id="{57364CFC-DCD6-442F-A97B-E0D01ECF3BDA}"/>
            </a:ext>
          </a:extLst>
        </xdr:cNvPr>
        <xdr:cNvSpPr/>
      </xdr:nvSpPr>
      <xdr:spPr>
        <a:xfrm>
          <a:off x="9604483" y="5529063"/>
          <a:ext cx="108935"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4</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16</xdr:col>
      <xdr:colOff>418301</xdr:colOff>
      <xdr:row>12</xdr:row>
      <xdr:rowOff>82123</xdr:rowOff>
    </xdr:from>
    <xdr:to>
      <xdr:col>17</xdr:col>
      <xdr:colOff>6082</xdr:colOff>
      <xdr:row>13</xdr:row>
      <xdr:rowOff>139881</xdr:rowOff>
    </xdr:to>
    <xdr:sp macro="" textlink="">
      <xdr:nvSpPr>
        <xdr:cNvPr id="8" name="楕円 7">
          <a:extLst>
            <a:ext uri="{FF2B5EF4-FFF2-40B4-BE49-F238E27FC236}">
              <a16:creationId xmlns:a16="http://schemas.microsoft.com/office/drawing/2014/main" id="{DC7EECF5-C301-4F06-B476-AABDA1FAAB75}"/>
            </a:ext>
          </a:extLst>
        </xdr:cNvPr>
        <xdr:cNvSpPr/>
      </xdr:nvSpPr>
      <xdr:spPr>
        <a:xfrm>
          <a:off x="11391101" y="2939623"/>
          <a:ext cx="273581"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５</a:t>
          </a:r>
        </a:p>
      </xdr:txBody>
    </xdr:sp>
    <xdr:clientData/>
  </xdr:twoCellAnchor>
  <xdr:twoCellAnchor>
    <xdr:from>
      <xdr:col>13</xdr:col>
      <xdr:colOff>697006</xdr:colOff>
      <xdr:row>13</xdr:row>
      <xdr:rowOff>35859</xdr:rowOff>
    </xdr:from>
    <xdr:to>
      <xdr:col>16</xdr:col>
      <xdr:colOff>273102</xdr:colOff>
      <xdr:row>15</xdr:row>
      <xdr:rowOff>53149</xdr:rowOff>
    </xdr:to>
    <xdr:sp macro="[0]!CommandButton61_Click" textlink="">
      <xdr:nvSpPr>
        <xdr:cNvPr id="11" name="四角形: 角を丸くする 10">
          <a:extLst>
            <a:ext uri="{FF2B5EF4-FFF2-40B4-BE49-F238E27FC236}">
              <a16:creationId xmlns:a16="http://schemas.microsoft.com/office/drawing/2014/main" id="{17F7468D-45C9-49EE-A607-7B80F64259E7}"/>
            </a:ext>
          </a:extLst>
        </xdr:cNvPr>
        <xdr:cNvSpPr/>
      </xdr:nvSpPr>
      <xdr:spPr>
        <a:xfrm>
          <a:off x="11028830" y="2882153"/>
          <a:ext cx="2254301" cy="431908"/>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13</xdr:col>
      <xdr:colOff>667869</xdr:colOff>
      <xdr:row>16</xdr:row>
      <xdr:rowOff>12220</xdr:rowOff>
    </xdr:from>
    <xdr:to>
      <xdr:col>16</xdr:col>
      <xdr:colOff>313764</xdr:colOff>
      <xdr:row>18</xdr:row>
      <xdr:rowOff>41739</xdr:rowOff>
    </xdr:to>
    <xdr:sp macro="[0]!CommandButton62_Click" textlink="">
      <xdr:nvSpPr>
        <xdr:cNvPr id="12" name="四角形: 角を丸くする 11">
          <a:extLst>
            <a:ext uri="{FF2B5EF4-FFF2-40B4-BE49-F238E27FC236}">
              <a16:creationId xmlns:a16="http://schemas.microsoft.com/office/drawing/2014/main" id="{7682868C-3CCD-4F17-A42B-72F613DCF3D6}"/>
            </a:ext>
          </a:extLst>
        </xdr:cNvPr>
        <xdr:cNvSpPr/>
      </xdr:nvSpPr>
      <xdr:spPr>
        <a:xfrm>
          <a:off x="10681445" y="3427773"/>
          <a:ext cx="2290484" cy="406037"/>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twoCellAnchor>
    <xdr:from>
      <xdr:col>1</xdr:col>
      <xdr:colOff>44823</xdr:colOff>
      <xdr:row>39</xdr:row>
      <xdr:rowOff>145676</xdr:rowOff>
    </xdr:from>
    <xdr:to>
      <xdr:col>11</xdr:col>
      <xdr:colOff>795617</xdr:colOff>
      <xdr:row>47</xdr:row>
      <xdr:rowOff>60511</xdr:rowOff>
    </xdr:to>
    <xdr:graphicFrame macro="">
      <xdr:nvGraphicFramePr>
        <xdr:cNvPr id="2" name="グラフ 1">
          <a:extLst>
            <a:ext uri="{FF2B5EF4-FFF2-40B4-BE49-F238E27FC236}">
              <a16:creationId xmlns:a16="http://schemas.microsoft.com/office/drawing/2014/main" id="{7FCF275A-1A1B-4037-A06B-0C3C81C3F0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414458</xdr:colOff>
      <xdr:row>12</xdr:row>
      <xdr:rowOff>103093</xdr:rowOff>
    </xdr:from>
    <xdr:to>
      <xdr:col>13</xdr:col>
      <xdr:colOff>689801</xdr:colOff>
      <xdr:row>13</xdr:row>
      <xdr:rowOff>160852</xdr:rowOff>
    </xdr:to>
    <xdr:sp macro="" textlink="">
      <xdr:nvSpPr>
        <xdr:cNvPr id="6" name="楕円 5">
          <a:extLst>
            <a:ext uri="{FF2B5EF4-FFF2-40B4-BE49-F238E27FC236}">
              <a16:creationId xmlns:a16="http://schemas.microsoft.com/office/drawing/2014/main" id="{8A6BBB3E-53AF-4E55-A7F5-AE63BDDF66C9}"/>
            </a:ext>
          </a:extLst>
        </xdr:cNvPr>
        <xdr:cNvSpPr/>
      </xdr:nvSpPr>
      <xdr:spPr>
        <a:xfrm>
          <a:off x="10746282" y="2747681"/>
          <a:ext cx="275343" cy="259465"/>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412626</xdr:colOff>
      <xdr:row>15</xdr:row>
      <xdr:rowOff>92602</xdr:rowOff>
    </xdr:from>
    <xdr:to>
      <xdr:col>13</xdr:col>
      <xdr:colOff>693134</xdr:colOff>
      <xdr:row>16</xdr:row>
      <xdr:rowOff>144248</xdr:rowOff>
    </xdr:to>
    <xdr:sp macro="" textlink="">
      <xdr:nvSpPr>
        <xdr:cNvPr id="10" name="楕円 9">
          <a:extLst>
            <a:ext uri="{FF2B5EF4-FFF2-40B4-BE49-F238E27FC236}">
              <a16:creationId xmlns:a16="http://schemas.microsoft.com/office/drawing/2014/main" id="{B4CB800C-86C2-4AEB-8E25-9135025C9065}"/>
            </a:ext>
          </a:extLst>
        </xdr:cNvPr>
        <xdr:cNvSpPr/>
      </xdr:nvSpPr>
      <xdr:spPr>
        <a:xfrm>
          <a:off x="10744450" y="3353514"/>
          <a:ext cx="280508" cy="264558"/>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6</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44263</xdr:colOff>
      <xdr:row>21</xdr:row>
      <xdr:rowOff>190501</xdr:rowOff>
    </xdr:from>
    <xdr:to>
      <xdr:col>12</xdr:col>
      <xdr:colOff>2068</xdr:colOff>
      <xdr:row>39</xdr:row>
      <xdr:rowOff>156883</xdr:rowOff>
    </xdr:to>
    <xdr:graphicFrame macro="">
      <xdr:nvGraphicFramePr>
        <xdr:cNvPr id="2" name="グラフ 1">
          <a:extLst>
            <a:ext uri="{FF2B5EF4-FFF2-40B4-BE49-F238E27FC236}">
              <a16:creationId xmlns:a16="http://schemas.microsoft.com/office/drawing/2014/main" id="{E1D47BA6-F3B1-47DD-8BC6-5F8A8269B1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503464</xdr:colOff>
      <xdr:row>13</xdr:row>
      <xdr:rowOff>54427</xdr:rowOff>
    </xdr:from>
    <xdr:to>
      <xdr:col>10</xdr:col>
      <xdr:colOff>23210</xdr:colOff>
      <xdr:row>14</xdr:row>
      <xdr:rowOff>112185</xdr:rowOff>
    </xdr:to>
    <xdr:sp macro="" textlink="">
      <xdr:nvSpPr>
        <xdr:cNvPr id="3" name="楕円 2">
          <a:extLst>
            <a:ext uri="{FF2B5EF4-FFF2-40B4-BE49-F238E27FC236}">
              <a16:creationId xmlns:a16="http://schemas.microsoft.com/office/drawing/2014/main" id="{A72A0379-F1F8-49A3-937B-42F2CB3432DA}"/>
            </a:ext>
          </a:extLst>
        </xdr:cNvPr>
        <xdr:cNvSpPr/>
      </xdr:nvSpPr>
      <xdr:spPr>
        <a:xfrm>
          <a:off x="8113939" y="2911927"/>
          <a:ext cx="272221"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7</xdr:col>
      <xdr:colOff>712623</xdr:colOff>
      <xdr:row>17</xdr:row>
      <xdr:rowOff>96422</xdr:rowOff>
    </xdr:from>
    <xdr:to>
      <xdr:col>8</xdr:col>
      <xdr:colOff>59530</xdr:colOff>
      <xdr:row>18</xdr:row>
      <xdr:rowOff>142525</xdr:rowOff>
    </xdr:to>
    <xdr:sp macro="" textlink="">
      <xdr:nvSpPr>
        <xdr:cNvPr id="4" name="楕円 3">
          <a:extLst>
            <a:ext uri="{FF2B5EF4-FFF2-40B4-BE49-F238E27FC236}">
              <a16:creationId xmlns:a16="http://schemas.microsoft.com/office/drawing/2014/main" id="{5969758B-7B76-4DF0-B1F8-8A0D9977917E}"/>
            </a:ext>
          </a:extLst>
        </xdr:cNvPr>
        <xdr:cNvSpPr/>
      </xdr:nvSpPr>
      <xdr:spPr>
        <a:xfrm>
          <a:off x="6646698" y="3773072"/>
          <a:ext cx="270832" cy="246128"/>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1041508</xdr:colOff>
      <xdr:row>23</xdr:row>
      <xdr:rowOff>52188</xdr:rowOff>
    </xdr:from>
    <xdr:to>
      <xdr:col>14</xdr:col>
      <xdr:colOff>112218</xdr:colOff>
      <xdr:row>24</xdr:row>
      <xdr:rowOff>109946</xdr:rowOff>
    </xdr:to>
    <xdr:sp macro="" textlink="">
      <xdr:nvSpPr>
        <xdr:cNvPr id="5" name="楕円 4">
          <a:extLst>
            <a:ext uri="{FF2B5EF4-FFF2-40B4-BE49-F238E27FC236}">
              <a16:creationId xmlns:a16="http://schemas.microsoft.com/office/drawing/2014/main" id="{641DDE9B-AB6D-414A-AAD9-704ABC88F490}"/>
            </a:ext>
          </a:extLst>
        </xdr:cNvPr>
        <xdr:cNvSpPr/>
      </xdr:nvSpPr>
      <xdr:spPr>
        <a:xfrm>
          <a:off x="11385658" y="5005188"/>
          <a:ext cx="270860"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4</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16</xdr:col>
      <xdr:colOff>418301</xdr:colOff>
      <xdr:row>12</xdr:row>
      <xdr:rowOff>82123</xdr:rowOff>
    </xdr:from>
    <xdr:to>
      <xdr:col>17</xdr:col>
      <xdr:colOff>6082</xdr:colOff>
      <xdr:row>13</xdr:row>
      <xdr:rowOff>139881</xdr:rowOff>
    </xdr:to>
    <xdr:sp macro="" textlink="">
      <xdr:nvSpPr>
        <xdr:cNvPr id="6" name="楕円 5">
          <a:extLst>
            <a:ext uri="{FF2B5EF4-FFF2-40B4-BE49-F238E27FC236}">
              <a16:creationId xmlns:a16="http://schemas.microsoft.com/office/drawing/2014/main" id="{59E2A5BA-F68F-4D70-ACDA-A7B9AB3619D6}"/>
            </a:ext>
          </a:extLst>
        </xdr:cNvPr>
        <xdr:cNvSpPr/>
      </xdr:nvSpPr>
      <xdr:spPr>
        <a:xfrm>
          <a:off x="13438976" y="2739598"/>
          <a:ext cx="273581"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５</a:t>
          </a:r>
        </a:p>
      </xdr:txBody>
    </xdr:sp>
    <xdr:clientData/>
  </xdr:twoCellAnchor>
  <xdr:twoCellAnchor>
    <xdr:from>
      <xdr:col>13</xdr:col>
      <xdr:colOff>697006</xdr:colOff>
      <xdr:row>13</xdr:row>
      <xdr:rowOff>35859</xdr:rowOff>
    </xdr:from>
    <xdr:to>
      <xdr:col>16</xdr:col>
      <xdr:colOff>273102</xdr:colOff>
      <xdr:row>15</xdr:row>
      <xdr:rowOff>53149</xdr:rowOff>
    </xdr:to>
    <xdr:sp macro="[0]!CommandButton61_Click" textlink="">
      <xdr:nvSpPr>
        <xdr:cNvPr id="7" name="四角形: 角を丸くする 6">
          <a:extLst>
            <a:ext uri="{FF2B5EF4-FFF2-40B4-BE49-F238E27FC236}">
              <a16:creationId xmlns:a16="http://schemas.microsoft.com/office/drawing/2014/main" id="{6A24F504-029A-4542-B8DF-87B20E25FD93}"/>
            </a:ext>
          </a:extLst>
        </xdr:cNvPr>
        <xdr:cNvSpPr/>
      </xdr:nvSpPr>
      <xdr:spPr>
        <a:xfrm>
          <a:off x="11041156" y="2893359"/>
          <a:ext cx="2252621" cy="426865"/>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13</xdr:col>
      <xdr:colOff>667869</xdr:colOff>
      <xdr:row>16</xdr:row>
      <xdr:rowOff>12220</xdr:rowOff>
    </xdr:from>
    <xdr:to>
      <xdr:col>16</xdr:col>
      <xdr:colOff>313764</xdr:colOff>
      <xdr:row>18</xdr:row>
      <xdr:rowOff>41739</xdr:rowOff>
    </xdr:to>
    <xdr:sp macro="[0]!CommandButton62_Click" textlink="">
      <xdr:nvSpPr>
        <xdr:cNvPr id="8" name="四角形: 角を丸くする 7">
          <a:extLst>
            <a:ext uri="{FF2B5EF4-FFF2-40B4-BE49-F238E27FC236}">
              <a16:creationId xmlns:a16="http://schemas.microsoft.com/office/drawing/2014/main" id="{ADF06E04-4E39-466B-B111-9D045CF766D6}"/>
            </a:ext>
          </a:extLst>
        </xdr:cNvPr>
        <xdr:cNvSpPr/>
      </xdr:nvSpPr>
      <xdr:spPr>
        <a:xfrm>
          <a:off x="11012019" y="3488845"/>
          <a:ext cx="2322420" cy="429569"/>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twoCellAnchor>
    <xdr:from>
      <xdr:col>1</xdr:col>
      <xdr:colOff>44823</xdr:colOff>
      <xdr:row>39</xdr:row>
      <xdr:rowOff>145676</xdr:rowOff>
    </xdr:from>
    <xdr:to>
      <xdr:col>11</xdr:col>
      <xdr:colOff>795617</xdr:colOff>
      <xdr:row>47</xdr:row>
      <xdr:rowOff>60511</xdr:rowOff>
    </xdr:to>
    <xdr:graphicFrame macro="">
      <xdr:nvGraphicFramePr>
        <xdr:cNvPr id="9" name="グラフ 8">
          <a:extLst>
            <a:ext uri="{FF2B5EF4-FFF2-40B4-BE49-F238E27FC236}">
              <a16:creationId xmlns:a16="http://schemas.microsoft.com/office/drawing/2014/main" id="{D6F21CD9-C907-4750-8FEA-E21A51EF63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414458</xdr:colOff>
      <xdr:row>12</xdr:row>
      <xdr:rowOff>103093</xdr:rowOff>
    </xdr:from>
    <xdr:to>
      <xdr:col>13</xdr:col>
      <xdr:colOff>689801</xdr:colOff>
      <xdr:row>13</xdr:row>
      <xdr:rowOff>160852</xdr:rowOff>
    </xdr:to>
    <xdr:sp macro="" textlink="">
      <xdr:nvSpPr>
        <xdr:cNvPr id="10" name="楕円 9">
          <a:extLst>
            <a:ext uri="{FF2B5EF4-FFF2-40B4-BE49-F238E27FC236}">
              <a16:creationId xmlns:a16="http://schemas.microsoft.com/office/drawing/2014/main" id="{28936D88-FD26-4BA7-8146-A09CF24FEC7A}"/>
            </a:ext>
          </a:extLst>
        </xdr:cNvPr>
        <xdr:cNvSpPr/>
      </xdr:nvSpPr>
      <xdr:spPr>
        <a:xfrm>
          <a:off x="10758608" y="2760568"/>
          <a:ext cx="275343" cy="257784"/>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412626</xdr:colOff>
      <xdr:row>15</xdr:row>
      <xdr:rowOff>92602</xdr:rowOff>
    </xdr:from>
    <xdr:to>
      <xdr:col>13</xdr:col>
      <xdr:colOff>693134</xdr:colOff>
      <xdr:row>16</xdr:row>
      <xdr:rowOff>144248</xdr:rowOff>
    </xdr:to>
    <xdr:sp macro="" textlink="">
      <xdr:nvSpPr>
        <xdr:cNvPr id="11" name="楕円 10">
          <a:extLst>
            <a:ext uri="{FF2B5EF4-FFF2-40B4-BE49-F238E27FC236}">
              <a16:creationId xmlns:a16="http://schemas.microsoft.com/office/drawing/2014/main" id="{6C731D1E-E3BB-4E45-BE1B-D51EF9F6A904}"/>
            </a:ext>
          </a:extLst>
        </xdr:cNvPr>
        <xdr:cNvSpPr/>
      </xdr:nvSpPr>
      <xdr:spPr>
        <a:xfrm>
          <a:off x="10756776" y="3359677"/>
          <a:ext cx="280508" cy="26119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6</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marketspeed.jp/ms2_rss/onlinehelp/ohm_002/ohm_002_06.html" TargetMode="External"/><Relationship Id="rId2" Type="http://schemas.openxmlformats.org/officeDocument/2006/relationships/hyperlink" Target="https://marketspeed.jp/ms2_rss/onlinehelp/ohm_002/ohm_002_06.html" TargetMode="External"/><Relationship Id="rId1" Type="http://schemas.openxmlformats.org/officeDocument/2006/relationships/hyperlink" Target="https://marketspeed.jp/ms2_rss/onlinehelp/ohm_002/ohm_002_06.html" TargetMode="External"/><Relationship Id="rId5" Type="http://schemas.openxmlformats.org/officeDocument/2006/relationships/drawing" Target="../drawings/drawing1.xml"/><Relationship Id="rId4" Type="http://schemas.openxmlformats.org/officeDocument/2006/relationships/hyperlink" Target="https://marketspeed.jp/ms2_rss/onlinehelp/"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E79"/>
  <sheetViews>
    <sheetView showGridLines="0" zoomScale="85" zoomScaleNormal="85" workbookViewId="0"/>
  </sheetViews>
  <sheetFormatPr defaultColWidth="4" defaultRowHeight="16.5"/>
  <cols>
    <col min="1" max="16384" width="4" style="65"/>
  </cols>
  <sheetData>
    <row r="2" spans="2:10" ht="19.5">
      <c r="B2" s="71" t="s">
        <v>173</v>
      </c>
    </row>
    <row r="4" spans="2:10" ht="19.5">
      <c r="C4" s="71" t="s">
        <v>172</v>
      </c>
    </row>
    <row r="5" spans="2:10">
      <c r="D5" s="78" t="s">
        <v>171</v>
      </c>
      <c r="E5" s="77" t="str">
        <f>HYPERLINK("#一括発注_国内株!A1","一括発注_国内株")</f>
        <v>一括発注_国内株</v>
      </c>
      <c r="J5" s="65" t="s">
        <v>177</v>
      </c>
    </row>
    <row r="6" spans="2:10">
      <c r="D6" s="78"/>
      <c r="E6" s="77"/>
      <c r="J6" s="65" t="s">
        <v>176</v>
      </c>
    </row>
    <row r="7" spans="2:10">
      <c r="D7" s="78"/>
      <c r="E7" s="77"/>
    </row>
    <row r="8" spans="2:10">
      <c r="D8" s="70" t="s">
        <v>170</v>
      </c>
      <c r="E8" s="77" t="str">
        <f>HYPERLINK("#一括発注_先物OP!A1","一括発注_先物OP")</f>
        <v>一括発注_先物OP</v>
      </c>
      <c r="J8" s="65" t="s">
        <v>178</v>
      </c>
    </row>
    <row r="9" spans="2:10">
      <c r="D9" s="70"/>
      <c r="E9" s="77"/>
      <c r="J9" s="65" t="s">
        <v>179</v>
      </c>
    </row>
    <row r="10" spans="2:10">
      <c r="D10" s="70"/>
      <c r="E10" s="77"/>
    </row>
    <row r="11" spans="2:10">
      <c r="D11" s="70" t="s">
        <v>169</v>
      </c>
      <c r="E11" s="77" t="str">
        <f>HYPERLINK("#トリガー発注!A1","トリガー発注")</f>
        <v>トリガー発注</v>
      </c>
      <c r="J11" s="65" t="s">
        <v>180</v>
      </c>
    </row>
    <row r="12" spans="2:10">
      <c r="D12" s="70"/>
      <c r="E12" s="77"/>
      <c r="J12" s="65" t="s">
        <v>182</v>
      </c>
    </row>
    <row r="13" spans="2:10">
      <c r="D13" s="70"/>
      <c r="E13" s="77"/>
    </row>
    <row r="14" spans="2:10" ht="19.5">
      <c r="C14" s="71" t="s">
        <v>168</v>
      </c>
      <c r="D14" s="70"/>
    </row>
    <row r="15" spans="2:10">
      <c r="D15" s="72" t="s">
        <v>191</v>
      </c>
      <c r="E15" s="65" t="s">
        <v>184</v>
      </c>
    </row>
    <row r="16" spans="2:10">
      <c r="E16" s="65" t="s">
        <v>185</v>
      </c>
    </row>
    <row r="17" spans="3:9">
      <c r="D17" s="72" t="s">
        <v>183</v>
      </c>
      <c r="E17" s="65" t="s">
        <v>186</v>
      </c>
    </row>
    <row r="18" spans="3:9">
      <c r="E18" s="65" t="s">
        <v>187</v>
      </c>
    </row>
    <row r="19" spans="3:9">
      <c r="D19" s="72" t="s">
        <v>190</v>
      </c>
      <c r="E19" s="65" t="s">
        <v>188</v>
      </c>
    </row>
    <row r="20" spans="3:9">
      <c r="D20" s="76"/>
      <c r="E20" s="65" t="s">
        <v>189</v>
      </c>
    </row>
    <row r="21" spans="3:9">
      <c r="D21" s="76"/>
    </row>
    <row r="22" spans="3:9">
      <c r="D22" s="76"/>
    </row>
    <row r="23" spans="3:9">
      <c r="D23" s="70"/>
    </row>
    <row r="24" spans="3:9" ht="19.5">
      <c r="C24" s="71" t="s">
        <v>167</v>
      </c>
      <c r="D24" s="70"/>
    </row>
    <row r="25" spans="3:9">
      <c r="D25" s="76" t="s">
        <v>166</v>
      </c>
    </row>
    <row r="26" spans="3:9">
      <c r="D26" s="65" t="s">
        <v>192</v>
      </c>
    </row>
    <row r="27" spans="3:9" ht="19.5">
      <c r="C27" s="71"/>
      <c r="D27" s="70"/>
    </row>
    <row r="28" spans="3:9" ht="19.5">
      <c r="D28" s="71"/>
      <c r="E28" s="80"/>
      <c r="F28" s="81"/>
      <c r="G28" s="82"/>
      <c r="I28" s="65" t="s">
        <v>193</v>
      </c>
    </row>
    <row r="29" spans="3:9" ht="19.5">
      <c r="C29" s="71"/>
      <c r="D29" s="70"/>
    </row>
    <row r="30" spans="3:9" ht="19.5">
      <c r="D30" s="71"/>
      <c r="E30" s="33"/>
      <c r="F30" s="83"/>
      <c r="G30" s="84"/>
      <c r="I30" s="65" t="s">
        <v>194</v>
      </c>
    </row>
    <row r="31" spans="3:9" ht="19.5">
      <c r="C31" s="71"/>
    </row>
    <row r="32" spans="3:9">
      <c r="D32" s="76" t="s">
        <v>195</v>
      </c>
    </row>
    <row r="33" spans="3:31">
      <c r="D33" s="76" t="s">
        <v>196</v>
      </c>
    </row>
    <row r="34" spans="3:31">
      <c r="D34" s="76"/>
    </row>
    <row r="35" spans="3:31">
      <c r="D35" s="70"/>
      <c r="E35" s="65" t="s">
        <v>165</v>
      </c>
    </row>
    <row r="36" spans="3:31">
      <c r="D36" s="70"/>
      <c r="E36" s="106" t="s">
        <v>164</v>
      </c>
      <c r="F36" s="106"/>
      <c r="G36" s="106" t="s">
        <v>98</v>
      </c>
      <c r="H36" s="106"/>
      <c r="I36" s="106"/>
      <c r="J36" s="106" t="s">
        <v>163</v>
      </c>
      <c r="K36" s="106"/>
      <c r="L36" s="106"/>
      <c r="M36" s="106"/>
      <c r="N36" s="106"/>
      <c r="O36" s="106"/>
      <c r="P36" s="106"/>
      <c r="Q36" s="106"/>
      <c r="R36" s="106"/>
      <c r="S36" s="106"/>
      <c r="T36" s="106"/>
      <c r="U36" s="106"/>
      <c r="V36" s="106"/>
      <c r="W36" s="106"/>
      <c r="X36" s="106"/>
      <c r="Y36" s="106"/>
      <c r="Z36" s="106"/>
      <c r="AA36" s="106"/>
      <c r="AB36" s="106"/>
      <c r="AC36" s="106"/>
    </row>
    <row r="37" spans="3:31" ht="39" customHeight="1">
      <c r="D37" s="70"/>
      <c r="E37" s="104" t="s">
        <v>162</v>
      </c>
      <c r="F37" s="104"/>
      <c r="G37" s="104" t="s">
        <v>101</v>
      </c>
      <c r="H37" s="104"/>
      <c r="I37" s="104"/>
      <c r="J37" s="105" t="s">
        <v>161</v>
      </c>
      <c r="K37" s="105"/>
      <c r="L37" s="105"/>
      <c r="M37" s="105"/>
      <c r="N37" s="105"/>
      <c r="O37" s="105"/>
      <c r="P37" s="105"/>
      <c r="Q37" s="105"/>
      <c r="R37" s="105"/>
      <c r="S37" s="105"/>
      <c r="T37" s="105"/>
      <c r="U37" s="105"/>
      <c r="V37" s="105"/>
      <c r="W37" s="105"/>
      <c r="X37" s="105"/>
      <c r="Y37" s="105"/>
      <c r="Z37" s="105"/>
      <c r="AA37" s="105"/>
      <c r="AB37" s="105"/>
      <c r="AC37" s="105"/>
      <c r="AD37" s="75"/>
      <c r="AE37" s="75"/>
    </row>
    <row r="38" spans="3:31" ht="39" customHeight="1">
      <c r="E38" s="104" t="s">
        <v>160</v>
      </c>
      <c r="F38" s="104"/>
      <c r="G38" s="104" t="s">
        <v>38</v>
      </c>
      <c r="H38" s="104"/>
      <c r="I38" s="104"/>
      <c r="J38" s="105" t="s">
        <v>159</v>
      </c>
      <c r="K38" s="105"/>
      <c r="L38" s="105"/>
      <c r="M38" s="105"/>
      <c r="N38" s="105"/>
      <c r="O38" s="105"/>
      <c r="P38" s="105"/>
      <c r="Q38" s="105"/>
      <c r="R38" s="105"/>
      <c r="S38" s="105"/>
      <c r="T38" s="105"/>
      <c r="U38" s="105"/>
      <c r="V38" s="105"/>
      <c r="W38" s="105"/>
      <c r="X38" s="105"/>
      <c r="Y38" s="105"/>
      <c r="Z38" s="105"/>
      <c r="AA38" s="105"/>
      <c r="AB38" s="105"/>
      <c r="AC38" s="105"/>
    </row>
    <row r="40" spans="3:31">
      <c r="M40" s="65" t="s">
        <v>158</v>
      </c>
      <c r="V40" s="72"/>
      <c r="W40" s="72"/>
    </row>
    <row r="41" spans="3:31">
      <c r="C41" s="74"/>
      <c r="E41" s="72"/>
      <c r="F41" s="72"/>
      <c r="G41" s="72"/>
      <c r="H41" s="72"/>
      <c r="I41" s="72"/>
      <c r="J41" s="72"/>
      <c r="K41" s="72"/>
      <c r="L41" s="72"/>
      <c r="M41" s="65" t="s">
        <v>157</v>
      </c>
      <c r="O41" s="72"/>
      <c r="P41" s="72"/>
      <c r="Q41" s="72"/>
      <c r="R41" s="72"/>
      <c r="S41" s="72"/>
      <c r="T41" s="72"/>
      <c r="U41" s="72"/>
      <c r="V41" s="72"/>
      <c r="W41" s="72"/>
    </row>
    <row r="42" spans="3:31">
      <c r="E42" s="72"/>
      <c r="F42" s="72"/>
      <c r="G42" s="72"/>
      <c r="H42" s="72"/>
      <c r="I42" s="72"/>
      <c r="J42" s="72"/>
      <c r="K42" s="72"/>
      <c r="L42" s="72"/>
      <c r="M42" s="72"/>
      <c r="N42" s="72"/>
      <c r="O42" s="72"/>
    </row>
    <row r="43" spans="3:31">
      <c r="E43" s="72"/>
      <c r="F43" s="72"/>
      <c r="G43" s="72"/>
      <c r="H43" s="72"/>
      <c r="I43" s="72"/>
      <c r="J43" s="72"/>
      <c r="K43" s="72"/>
      <c r="L43" s="72"/>
      <c r="M43" s="73" t="s">
        <v>156</v>
      </c>
      <c r="O43" s="72"/>
    </row>
    <row r="44" spans="3:31">
      <c r="E44" s="72"/>
      <c r="F44" s="72"/>
      <c r="G44" s="72"/>
      <c r="H44" s="72"/>
      <c r="I44" s="72"/>
      <c r="J44" s="72"/>
      <c r="K44" s="72"/>
      <c r="L44" s="72"/>
      <c r="M44" s="72"/>
      <c r="N44" s="72"/>
      <c r="O44" s="72"/>
    </row>
    <row r="45" spans="3:31">
      <c r="E45" s="72"/>
      <c r="F45" s="72"/>
      <c r="G45" s="72"/>
      <c r="H45" s="72"/>
      <c r="I45" s="72"/>
      <c r="J45" s="72"/>
      <c r="K45" s="72"/>
      <c r="L45" s="72"/>
      <c r="M45" s="73" t="s">
        <v>155</v>
      </c>
      <c r="N45" s="72"/>
      <c r="O45" s="72"/>
    </row>
    <row r="46" spans="3:31">
      <c r="E46" s="72"/>
      <c r="F46" s="72"/>
      <c r="G46" s="72"/>
      <c r="H46" s="72"/>
      <c r="I46" s="72"/>
      <c r="J46" s="72"/>
      <c r="K46" s="72"/>
      <c r="L46" s="72"/>
      <c r="M46" s="72"/>
      <c r="N46" s="72"/>
      <c r="O46" s="72"/>
    </row>
    <row r="47" spans="3:31">
      <c r="E47" s="67"/>
      <c r="F47" s="67"/>
      <c r="G47" s="67"/>
      <c r="H47" s="67"/>
      <c r="I47" s="67"/>
      <c r="J47" s="67"/>
      <c r="K47" s="67"/>
      <c r="L47" s="67"/>
      <c r="M47" s="67"/>
      <c r="N47" s="67"/>
      <c r="O47" s="67"/>
    </row>
    <row r="48" spans="3:31" ht="19.5">
      <c r="C48" s="71" t="s">
        <v>154</v>
      </c>
      <c r="E48" s="70"/>
    </row>
    <row r="49" spans="4:13">
      <c r="D49" s="65" t="s">
        <v>153</v>
      </c>
      <c r="G49" s="68"/>
      <c r="H49" s="67"/>
      <c r="I49" s="66"/>
      <c r="J49" s="68"/>
      <c r="K49" s="67"/>
      <c r="L49" s="67"/>
      <c r="M49" s="67"/>
    </row>
    <row r="50" spans="4:13">
      <c r="E50" s="77" t="s">
        <v>216</v>
      </c>
      <c r="G50" s="68"/>
      <c r="H50" s="67"/>
      <c r="I50" s="66"/>
      <c r="J50" s="68"/>
      <c r="K50" s="67"/>
      <c r="L50" s="67"/>
      <c r="M50" s="67"/>
    </row>
    <row r="51" spans="4:13">
      <c r="G51" s="68"/>
      <c r="H51" s="67"/>
      <c r="I51" s="66"/>
      <c r="J51" s="68"/>
      <c r="K51" s="67"/>
      <c r="L51" s="67"/>
      <c r="M51" s="67"/>
    </row>
    <row r="52" spans="4:13">
      <c r="D52" s="65" t="s">
        <v>152</v>
      </c>
      <c r="G52" s="68"/>
      <c r="H52" s="67"/>
      <c r="I52" s="66"/>
      <c r="J52" s="68"/>
      <c r="K52" s="67"/>
      <c r="L52" s="67"/>
      <c r="M52" s="67"/>
    </row>
    <row r="53" spans="4:13">
      <c r="E53" s="77" t="s">
        <v>151</v>
      </c>
      <c r="G53" s="68"/>
      <c r="H53" s="67"/>
      <c r="I53" s="66"/>
      <c r="J53" s="68"/>
      <c r="K53" s="67"/>
      <c r="L53" s="67"/>
      <c r="M53" s="67"/>
    </row>
    <row r="54" spans="4:13">
      <c r="E54" s="77" t="s">
        <v>150</v>
      </c>
      <c r="F54" s="69"/>
      <c r="G54" s="68"/>
      <c r="H54" s="67"/>
      <c r="I54" s="66"/>
      <c r="J54" s="68"/>
      <c r="K54" s="67"/>
      <c r="L54" s="67"/>
      <c r="M54" s="67"/>
    </row>
    <row r="55" spans="4:13">
      <c r="E55" s="77" t="s">
        <v>149</v>
      </c>
      <c r="G55" s="68"/>
      <c r="H55" s="67"/>
      <c r="I55" s="66"/>
      <c r="J55" s="68"/>
      <c r="K55" s="67"/>
      <c r="L55" s="67"/>
      <c r="M55" s="67"/>
    </row>
    <row r="56" spans="4:13">
      <c r="F56" s="69"/>
      <c r="G56" s="68"/>
      <c r="H56" s="67"/>
      <c r="I56" s="66"/>
      <c r="J56" s="68"/>
      <c r="K56" s="67"/>
      <c r="L56" s="67"/>
      <c r="M56" s="67"/>
    </row>
    <row r="57" spans="4:13">
      <c r="G57" s="68"/>
      <c r="H57" s="67"/>
      <c r="I57" s="66"/>
      <c r="J57" s="68"/>
      <c r="K57" s="67"/>
      <c r="L57" s="67"/>
      <c r="M57" s="67"/>
    </row>
    <row r="58" spans="4:13">
      <c r="F58" s="69"/>
      <c r="G58" s="68"/>
      <c r="H58" s="67"/>
      <c r="I58" s="66"/>
      <c r="J58" s="68"/>
      <c r="K58" s="67"/>
      <c r="L58" s="67"/>
      <c r="M58" s="67"/>
    </row>
    <row r="59" spans="4:13">
      <c r="H59" s="68"/>
      <c r="I59" s="67"/>
      <c r="J59" s="66"/>
      <c r="K59" s="68"/>
      <c r="L59" s="67"/>
      <c r="M59" s="66"/>
    </row>
    <row r="60" spans="4:13">
      <c r="H60" s="68"/>
      <c r="I60" s="67"/>
      <c r="J60" s="66"/>
      <c r="K60" s="68"/>
      <c r="L60" s="67"/>
      <c r="M60" s="66"/>
    </row>
    <row r="61" spans="4:13">
      <c r="H61" s="68"/>
      <c r="I61" s="67"/>
      <c r="J61" s="66"/>
      <c r="K61" s="68"/>
      <c r="L61" s="67"/>
      <c r="M61" s="66"/>
    </row>
    <row r="62" spans="4:13">
      <c r="H62" s="68"/>
      <c r="I62" s="67"/>
      <c r="J62" s="66"/>
      <c r="K62" s="68"/>
      <c r="L62" s="67"/>
      <c r="M62" s="66"/>
    </row>
    <row r="63" spans="4:13">
      <c r="H63" s="68"/>
      <c r="I63" s="67"/>
      <c r="J63" s="66"/>
      <c r="K63" s="68"/>
      <c r="L63" s="67"/>
      <c r="M63" s="66"/>
    </row>
    <row r="64" spans="4:13">
      <c r="H64" s="68"/>
      <c r="I64" s="67"/>
      <c r="J64" s="66"/>
      <c r="K64" s="68"/>
      <c r="L64" s="67"/>
      <c r="M64" s="66"/>
    </row>
    <row r="65" spans="8:13">
      <c r="H65" s="68"/>
      <c r="I65" s="67"/>
      <c r="J65" s="66"/>
      <c r="K65" s="68"/>
      <c r="L65" s="67"/>
      <c r="M65" s="66"/>
    </row>
    <row r="66" spans="8:13">
      <c r="H66" s="68"/>
      <c r="I66" s="67"/>
      <c r="J66" s="66"/>
      <c r="K66" s="68"/>
      <c r="L66" s="67"/>
      <c r="M66" s="66"/>
    </row>
    <row r="67" spans="8:13">
      <c r="H67" s="68"/>
      <c r="I67" s="67"/>
      <c r="J67" s="66"/>
      <c r="K67" s="68"/>
      <c r="L67" s="67"/>
      <c r="M67" s="66"/>
    </row>
    <row r="68" spans="8:13">
      <c r="H68" s="68"/>
      <c r="I68" s="67"/>
      <c r="J68" s="66"/>
      <c r="K68" s="68"/>
      <c r="L68" s="67"/>
      <c r="M68" s="66"/>
    </row>
    <row r="69" spans="8:13">
      <c r="H69" s="68"/>
      <c r="I69" s="67"/>
      <c r="J69" s="66"/>
      <c r="K69" s="68"/>
      <c r="L69" s="67"/>
      <c r="M69" s="66"/>
    </row>
    <row r="70" spans="8:13">
      <c r="H70" s="68"/>
      <c r="I70" s="67"/>
      <c r="J70" s="66"/>
      <c r="K70" s="68"/>
      <c r="L70" s="67"/>
      <c r="M70" s="66"/>
    </row>
    <row r="71" spans="8:13">
      <c r="H71" s="68"/>
      <c r="I71" s="67"/>
      <c r="J71" s="66"/>
      <c r="K71" s="68"/>
      <c r="L71" s="67"/>
      <c r="M71" s="66"/>
    </row>
    <row r="72" spans="8:13">
      <c r="H72" s="68"/>
      <c r="I72" s="67"/>
      <c r="J72" s="66"/>
      <c r="K72" s="68"/>
      <c r="L72" s="67"/>
      <c r="M72" s="66"/>
    </row>
    <row r="73" spans="8:13">
      <c r="H73" s="68"/>
      <c r="I73" s="67"/>
      <c r="J73" s="66"/>
      <c r="K73" s="68"/>
      <c r="L73" s="67"/>
      <c r="M73" s="66"/>
    </row>
    <row r="74" spans="8:13">
      <c r="H74" s="68"/>
      <c r="I74" s="67"/>
      <c r="J74" s="66"/>
      <c r="K74" s="68"/>
      <c r="L74" s="67"/>
      <c r="M74" s="66"/>
    </row>
    <row r="75" spans="8:13">
      <c r="H75" s="68"/>
      <c r="I75" s="67"/>
      <c r="J75" s="66"/>
      <c r="K75" s="68"/>
      <c r="L75" s="67"/>
      <c r="M75" s="66"/>
    </row>
    <row r="76" spans="8:13">
      <c r="H76" s="68"/>
      <c r="I76" s="67"/>
      <c r="J76" s="66"/>
      <c r="K76" s="68"/>
      <c r="L76" s="67"/>
      <c r="M76" s="66"/>
    </row>
    <row r="77" spans="8:13">
      <c r="H77" s="68"/>
      <c r="I77" s="67"/>
      <c r="J77" s="66"/>
      <c r="K77" s="68"/>
      <c r="L77" s="67"/>
      <c r="M77" s="66"/>
    </row>
    <row r="78" spans="8:13">
      <c r="H78" s="68"/>
      <c r="I78" s="67"/>
      <c r="J78" s="66"/>
      <c r="K78" s="68"/>
      <c r="L78" s="67"/>
      <c r="M78" s="66"/>
    </row>
    <row r="79" spans="8:13">
      <c r="H79" s="68"/>
      <c r="I79" s="67"/>
      <c r="J79" s="66"/>
      <c r="K79" s="68"/>
      <c r="L79" s="67"/>
      <c r="M79" s="66"/>
    </row>
  </sheetData>
  <mergeCells count="9">
    <mergeCell ref="E38:F38"/>
    <mergeCell ref="G38:I38"/>
    <mergeCell ref="J38:AC38"/>
    <mergeCell ref="E36:F36"/>
    <mergeCell ref="G36:I36"/>
    <mergeCell ref="J36:AC36"/>
    <mergeCell ref="E37:F37"/>
    <mergeCell ref="G37:I37"/>
    <mergeCell ref="J37:AC37"/>
  </mergeCells>
  <phoneticPr fontId="4"/>
  <conditionalFormatting sqref="E30:G30">
    <cfRule type="expression" dxfId="63" priority="1">
      <formula>$N$22&lt;&gt;1</formula>
    </cfRule>
  </conditionalFormatting>
  <hyperlinks>
    <hyperlink ref="E53" r:id="rId1" location="RssStockOrder" xr:uid="{00000000-0004-0000-0000-000000000000}"/>
    <hyperlink ref="E54" r:id="rId2" location="RssMarginOpenOrder" xr:uid="{00000000-0004-0000-0000-000001000000}"/>
    <hyperlink ref="E55" r:id="rId3" location="RssFOPOpenOrder" xr:uid="{00000000-0004-0000-0000-000002000000}"/>
    <hyperlink ref="E50"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X36"/>
  <sheetViews>
    <sheetView showGridLines="0" zoomScale="85" zoomScaleNormal="85" workbookViewId="0"/>
  </sheetViews>
  <sheetFormatPr defaultColWidth="9.125" defaultRowHeight="14.25"/>
  <cols>
    <col min="1" max="1" width="4" style="1" customWidth="1"/>
    <col min="2" max="2" width="9.5" style="1" customWidth="1"/>
    <col min="3" max="3" width="6.875" style="1" bestFit="1" customWidth="1"/>
    <col min="4" max="4" width="11.625" style="1" bestFit="1" customWidth="1"/>
    <col min="5" max="5" width="9.875" style="1" bestFit="1" customWidth="1"/>
    <col min="6" max="6" width="9" style="1" bestFit="1" customWidth="1"/>
    <col min="7" max="7" width="11.75" style="1" bestFit="1" customWidth="1"/>
    <col min="8" max="8" width="8.375" style="1" bestFit="1" customWidth="1"/>
    <col min="9" max="9" width="8" style="1" customWidth="1"/>
    <col min="10" max="10" width="8.25" style="1" customWidth="1"/>
    <col min="11" max="11" width="9" style="1" customWidth="1"/>
    <col min="12" max="13" width="8.25" style="1" bestFit="1" customWidth="1"/>
    <col min="14" max="14" width="9.5" style="1" bestFit="1" customWidth="1"/>
    <col min="15" max="15" width="8.25" style="1" bestFit="1" customWidth="1"/>
    <col min="16" max="16" width="13.375" style="1" bestFit="1" customWidth="1"/>
    <col min="17" max="17" width="20.625" style="1" customWidth="1"/>
    <col min="18" max="18" width="22" style="1" customWidth="1"/>
    <col min="19" max="19" width="23.25" style="1" customWidth="1"/>
    <col min="20" max="21" width="13.375" style="1" bestFit="1" customWidth="1"/>
    <col min="22" max="22" width="17" style="1" bestFit="1" customWidth="1"/>
    <col min="23" max="24" width="13.375" style="1" bestFit="1" customWidth="1"/>
    <col min="25" max="42" width="9" style="1" customWidth="1"/>
    <col min="43" max="16384" width="9.125" style="1"/>
  </cols>
  <sheetData>
    <row r="2" spans="2:24" ht="21">
      <c r="B2" s="25" t="s">
        <v>43</v>
      </c>
    </row>
    <row r="3" spans="2:24" ht="18">
      <c r="B3" s="24" t="s">
        <v>42</v>
      </c>
      <c r="C3" s="24"/>
    </row>
    <row r="4" spans="2:24" ht="18">
      <c r="B4" s="24" t="s">
        <v>41</v>
      </c>
    </row>
    <row r="5" spans="2:24" ht="18">
      <c r="B5" s="24" t="s">
        <v>40</v>
      </c>
    </row>
    <row r="6" spans="2:24" ht="15.75">
      <c r="P6" s="23" t="str">
        <f>_xll.RssCapacityList(P7:S7)</f>
        <v>=@RssCapacityList(P7:S7) =&gt; 接続待ち</v>
      </c>
      <c r="Q6" s="23"/>
      <c r="R6" s="23"/>
      <c r="S6" s="23"/>
    </row>
    <row r="7" spans="2:24" ht="15.75">
      <c r="D7" s="107" t="s">
        <v>39</v>
      </c>
      <c r="E7" s="108"/>
      <c r="P7" s="22" t="s">
        <v>37</v>
      </c>
      <c r="Q7" s="22" t="s">
        <v>36</v>
      </c>
      <c r="R7" s="22" t="s">
        <v>35</v>
      </c>
      <c r="S7" s="22" t="s">
        <v>34</v>
      </c>
    </row>
    <row r="8" spans="2:24" ht="15.75">
      <c r="D8" s="21">
        <v>0</v>
      </c>
      <c r="E8" s="20" t="str">
        <f>IF(ISBLANK(D8),"",IF(OR(D8=0,D8=FALSE),"待機中",IF(OR(D8=1,D8=TRUE),"発注","")))</f>
        <v>待機中</v>
      </c>
      <c r="P8" s="19">
        <v>26353</v>
      </c>
      <c r="Q8" s="19"/>
      <c r="R8" s="19"/>
      <c r="S8" s="103"/>
    </row>
    <row r="9" spans="2:24" ht="15.75">
      <c r="P9" s="18" t="s">
        <v>52</v>
      </c>
      <c r="Q9" s="18" t="s">
        <v>52</v>
      </c>
      <c r="R9" s="18" t="s">
        <v>52</v>
      </c>
      <c r="S9" s="18" t="s">
        <v>52</v>
      </c>
    </row>
    <row r="10" spans="2:24" ht="16.5">
      <c r="B10" s="12" t="s">
        <v>33</v>
      </c>
    </row>
    <row r="11" spans="2:24" s="15" customFormat="1">
      <c r="B11" s="11" t="s">
        <v>32</v>
      </c>
      <c r="C11" s="11" t="s">
        <v>31</v>
      </c>
      <c r="D11" s="11" t="s">
        <v>30</v>
      </c>
      <c r="E11" s="11" t="s">
        <v>29</v>
      </c>
      <c r="F11" s="11" t="s">
        <v>28</v>
      </c>
      <c r="G11" s="11" t="s">
        <v>27</v>
      </c>
      <c r="H11" s="11" t="s">
        <v>26</v>
      </c>
      <c r="I11" s="11" t="s">
        <v>25</v>
      </c>
      <c r="J11" s="11" t="s">
        <v>6</v>
      </c>
      <c r="K11" s="11" t="s">
        <v>24</v>
      </c>
      <c r="L11" s="11" t="s">
        <v>5</v>
      </c>
      <c r="M11" s="11" t="s">
        <v>23</v>
      </c>
      <c r="N11" s="11" t="s">
        <v>22</v>
      </c>
      <c r="O11" s="11" t="s">
        <v>21</v>
      </c>
      <c r="P11" s="17" t="s">
        <v>20</v>
      </c>
      <c r="Q11" s="17" t="s">
        <v>19</v>
      </c>
      <c r="R11" s="17" t="s">
        <v>18</v>
      </c>
      <c r="S11" s="17" t="s">
        <v>17</v>
      </c>
      <c r="T11" s="16" t="s">
        <v>16</v>
      </c>
      <c r="U11" s="16" t="s">
        <v>15</v>
      </c>
      <c r="V11" s="16" t="s">
        <v>14</v>
      </c>
      <c r="W11" s="16" t="s">
        <v>13</v>
      </c>
      <c r="X11" s="16" t="s">
        <v>12</v>
      </c>
    </row>
    <row r="12" spans="2:24" ht="15.75">
      <c r="B12" s="88"/>
      <c r="C12" s="14"/>
      <c r="D12" s="14" t="str">
        <f>IF(E12="","",$D$8)</f>
        <v/>
      </c>
      <c r="E12" s="13"/>
      <c r="F12" s="88"/>
      <c r="G12" s="88"/>
      <c r="H12" s="88"/>
      <c r="I12" s="33"/>
      <c r="J12" s="13"/>
      <c r="K12" s="88"/>
      <c r="L12" s="33"/>
      <c r="M12" s="88"/>
      <c r="N12" s="33"/>
      <c r="O12" s="88"/>
      <c r="P12" s="13"/>
      <c r="Q12" s="88"/>
      <c r="R12" s="88"/>
      <c r="S12" s="13"/>
      <c r="T12" s="33"/>
      <c r="U12" s="88"/>
      <c r="V12" s="13"/>
      <c r="W12" s="90"/>
      <c r="X12" s="13"/>
    </row>
    <row r="13" spans="2:24" ht="15.75">
      <c r="B13" s="88"/>
      <c r="C13" s="14" t="str">
        <f t="shared" ref="C13:C21" si="0">IF($C$12="","",C12+1)</f>
        <v/>
      </c>
      <c r="D13" s="14" t="str">
        <f t="shared" ref="D13:D21" si="1">IF(E13="","",$D$8)</f>
        <v/>
      </c>
      <c r="E13" s="13"/>
      <c r="F13" s="88"/>
      <c r="G13" s="88"/>
      <c r="H13" s="88"/>
      <c r="I13" s="33"/>
      <c r="J13" s="13"/>
      <c r="K13" s="88"/>
      <c r="L13" s="33"/>
      <c r="M13" s="88"/>
      <c r="N13" s="33"/>
      <c r="O13" s="88"/>
      <c r="P13" s="13"/>
      <c r="Q13" s="88"/>
      <c r="R13" s="88"/>
      <c r="S13" s="13"/>
      <c r="T13" s="33"/>
      <c r="U13" s="88"/>
      <c r="V13" s="13"/>
      <c r="W13" s="90"/>
      <c r="X13" s="13"/>
    </row>
    <row r="14" spans="2:24" ht="15.75">
      <c r="B14" s="88"/>
      <c r="C14" s="14" t="str">
        <f t="shared" si="0"/>
        <v/>
      </c>
      <c r="D14" s="14" t="str">
        <f t="shared" si="1"/>
        <v/>
      </c>
      <c r="E14" s="13"/>
      <c r="F14" s="88"/>
      <c r="G14" s="88"/>
      <c r="H14" s="88"/>
      <c r="I14" s="33"/>
      <c r="J14" s="13"/>
      <c r="K14" s="88"/>
      <c r="L14" s="33"/>
      <c r="M14" s="88"/>
      <c r="N14" s="33"/>
      <c r="O14" s="88"/>
      <c r="P14" s="13"/>
      <c r="Q14" s="88"/>
      <c r="R14" s="88"/>
      <c r="S14" s="13"/>
      <c r="T14" s="33"/>
      <c r="U14" s="88"/>
      <c r="V14" s="13"/>
      <c r="W14" s="90"/>
      <c r="X14" s="13"/>
    </row>
    <row r="15" spans="2:24" ht="15.75">
      <c r="B15" s="88"/>
      <c r="C15" s="14" t="str">
        <f t="shared" si="0"/>
        <v/>
      </c>
      <c r="D15" s="14" t="str">
        <f t="shared" si="1"/>
        <v/>
      </c>
      <c r="E15" s="13"/>
      <c r="F15" s="88"/>
      <c r="G15" s="88"/>
      <c r="H15" s="88"/>
      <c r="I15" s="33"/>
      <c r="J15" s="13"/>
      <c r="K15" s="88"/>
      <c r="L15" s="33"/>
      <c r="M15" s="88"/>
      <c r="N15" s="33"/>
      <c r="O15" s="88"/>
      <c r="P15" s="13"/>
      <c r="Q15" s="88"/>
      <c r="R15" s="88"/>
      <c r="S15" s="13"/>
      <c r="T15" s="33"/>
      <c r="U15" s="88"/>
      <c r="V15" s="13"/>
      <c r="W15" s="90"/>
      <c r="X15" s="13"/>
    </row>
    <row r="16" spans="2:24" ht="15.75">
      <c r="B16" s="88"/>
      <c r="C16" s="14" t="str">
        <f t="shared" si="0"/>
        <v/>
      </c>
      <c r="D16" s="14" t="str">
        <f t="shared" si="1"/>
        <v/>
      </c>
      <c r="E16" s="13"/>
      <c r="F16" s="88"/>
      <c r="G16" s="88"/>
      <c r="H16" s="88"/>
      <c r="I16" s="33"/>
      <c r="J16" s="13"/>
      <c r="K16" s="88"/>
      <c r="L16" s="33"/>
      <c r="M16" s="88"/>
      <c r="N16" s="33"/>
      <c r="O16" s="88"/>
      <c r="P16" s="13"/>
      <c r="Q16" s="88"/>
      <c r="R16" s="88"/>
      <c r="S16" s="13"/>
      <c r="T16" s="33"/>
      <c r="U16" s="88"/>
      <c r="V16" s="13"/>
      <c r="W16" s="90"/>
      <c r="X16" s="13"/>
    </row>
    <row r="17" spans="2:24" ht="15.75">
      <c r="B17" s="88"/>
      <c r="C17" s="14" t="str">
        <f t="shared" si="0"/>
        <v/>
      </c>
      <c r="D17" s="14" t="str">
        <f t="shared" si="1"/>
        <v/>
      </c>
      <c r="E17" s="13"/>
      <c r="F17" s="88"/>
      <c r="G17" s="88"/>
      <c r="H17" s="88"/>
      <c r="I17" s="33"/>
      <c r="J17" s="13"/>
      <c r="K17" s="88"/>
      <c r="L17" s="33"/>
      <c r="M17" s="88"/>
      <c r="N17" s="33"/>
      <c r="O17" s="88"/>
      <c r="P17" s="13"/>
      <c r="Q17" s="88"/>
      <c r="R17" s="88"/>
      <c r="S17" s="13"/>
      <c r="T17" s="33"/>
      <c r="U17" s="88"/>
      <c r="V17" s="13"/>
      <c r="W17" s="90"/>
      <c r="X17" s="13"/>
    </row>
    <row r="18" spans="2:24" ht="15.75">
      <c r="B18" s="88"/>
      <c r="C18" s="14" t="str">
        <f t="shared" si="0"/>
        <v/>
      </c>
      <c r="D18" s="14" t="str">
        <f t="shared" si="1"/>
        <v/>
      </c>
      <c r="E18" s="13"/>
      <c r="F18" s="88"/>
      <c r="G18" s="88"/>
      <c r="H18" s="88"/>
      <c r="I18" s="33"/>
      <c r="J18" s="13"/>
      <c r="K18" s="88"/>
      <c r="L18" s="33"/>
      <c r="M18" s="88"/>
      <c r="N18" s="33"/>
      <c r="O18" s="88"/>
      <c r="P18" s="13"/>
      <c r="Q18" s="88"/>
      <c r="R18" s="88"/>
      <c r="S18" s="13"/>
      <c r="T18" s="33"/>
      <c r="U18" s="88"/>
      <c r="V18" s="13"/>
      <c r="W18" s="90"/>
      <c r="X18" s="13"/>
    </row>
    <row r="19" spans="2:24" ht="15.75">
      <c r="B19" s="88"/>
      <c r="C19" s="14" t="str">
        <f t="shared" si="0"/>
        <v/>
      </c>
      <c r="D19" s="14" t="str">
        <f t="shared" si="1"/>
        <v/>
      </c>
      <c r="E19" s="13"/>
      <c r="F19" s="88"/>
      <c r="G19" s="88"/>
      <c r="H19" s="88"/>
      <c r="I19" s="33"/>
      <c r="J19" s="13"/>
      <c r="K19" s="88"/>
      <c r="L19" s="33"/>
      <c r="M19" s="88"/>
      <c r="N19" s="33"/>
      <c r="O19" s="88"/>
      <c r="P19" s="13"/>
      <c r="Q19" s="88"/>
      <c r="R19" s="88"/>
      <c r="S19" s="13"/>
      <c r="T19" s="33"/>
      <c r="U19" s="88"/>
      <c r="V19" s="13"/>
      <c r="W19" s="90"/>
      <c r="X19" s="13"/>
    </row>
    <row r="20" spans="2:24" ht="15.75">
      <c r="B20" s="88"/>
      <c r="C20" s="14" t="str">
        <f t="shared" si="0"/>
        <v/>
      </c>
      <c r="D20" s="14" t="str">
        <f t="shared" si="1"/>
        <v/>
      </c>
      <c r="E20" s="13"/>
      <c r="F20" s="88"/>
      <c r="G20" s="88"/>
      <c r="H20" s="88"/>
      <c r="I20" s="33"/>
      <c r="J20" s="13"/>
      <c r="K20" s="88"/>
      <c r="L20" s="33"/>
      <c r="M20" s="88"/>
      <c r="N20" s="33"/>
      <c r="O20" s="88"/>
      <c r="P20" s="13"/>
      <c r="Q20" s="88"/>
      <c r="R20" s="88"/>
      <c r="S20" s="13"/>
      <c r="T20" s="33"/>
      <c r="U20" s="88"/>
      <c r="V20" s="13"/>
      <c r="W20" s="90"/>
      <c r="X20" s="13"/>
    </row>
    <row r="21" spans="2:24" ht="15.75">
      <c r="B21" s="88"/>
      <c r="C21" s="14" t="str">
        <f t="shared" si="0"/>
        <v/>
      </c>
      <c r="D21" s="14" t="str">
        <f t="shared" si="1"/>
        <v/>
      </c>
      <c r="E21" s="13"/>
      <c r="F21" s="88"/>
      <c r="G21" s="88"/>
      <c r="H21" s="88"/>
      <c r="I21" s="33"/>
      <c r="J21" s="13"/>
      <c r="K21" s="88"/>
      <c r="L21" s="33"/>
      <c r="M21" s="88"/>
      <c r="N21" s="33"/>
      <c r="O21" s="88"/>
      <c r="P21" s="13"/>
      <c r="Q21" s="88"/>
      <c r="R21" s="88"/>
      <c r="S21" s="13"/>
      <c r="T21" s="33"/>
      <c r="U21" s="88"/>
      <c r="V21" s="13"/>
      <c r="W21" s="90"/>
      <c r="X21" s="13"/>
    </row>
    <row r="23" spans="2:24" ht="16.5">
      <c r="B23" s="12" t="s">
        <v>11</v>
      </c>
      <c r="I23" s="12" t="s">
        <v>10</v>
      </c>
    </row>
    <row r="24" spans="2:24">
      <c r="B24" s="11" t="s">
        <v>9</v>
      </c>
      <c r="C24" s="11" t="s">
        <v>8</v>
      </c>
      <c r="D24" s="2" t="s">
        <v>7</v>
      </c>
      <c r="E24" s="11" t="s">
        <v>6</v>
      </c>
      <c r="F24" s="11" t="s">
        <v>5</v>
      </c>
      <c r="G24" s="2" t="s">
        <v>4</v>
      </c>
      <c r="I24" s="2" t="s">
        <v>3</v>
      </c>
      <c r="J24" s="10" t="s">
        <v>2</v>
      </c>
      <c r="K24" s="10"/>
      <c r="L24" s="10"/>
      <c r="M24" s="10"/>
      <c r="N24" s="10"/>
      <c r="O24" s="9"/>
    </row>
    <row r="25" spans="2:24">
      <c r="B25" s="2" t="str">
        <f t="shared" ref="B25:B34" si="2">IF(B12="","",IF(B12=0,"現物",IF(B12=1,"信用")))</f>
        <v/>
      </c>
      <c r="C25" s="2" t="str">
        <f>IF($C$12="","",C12)</f>
        <v/>
      </c>
      <c r="D25" s="2" t="str">
        <f>IF(E12="","",_xll.RssMarket(E12,"銘柄名称"))</f>
        <v/>
      </c>
      <c r="E25" s="2" t="str">
        <f>IF(J12="","",J12)</f>
        <v/>
      </c>
      <c r="F25" s="91" t="str">
        <f>IF(K12="","",IF(K12=0,_xll.RssMarket(K12,"現在値"),IF(K12=1,L12)))</f>
        <v/>
      </c>
      <c r="G25" s="91" t="str">
        <f t="shared" ref="G25:G34" si="3">IF(F25="","",E25*F25)</f>
        <v/>
      </c>
      <c r="I25" s="6" t="str">
        <f>IF(ISBLANK(B12),"",IF(B12=0,_xll.RssStockOrder(C12,D12,E12,F12,G12,H12,J12,K12,L12,M12,N12,O12,P12,Q12,R12,S12,T12,V12,W12,X12),IF(B12=1,_xll.RssMarginOpenOrder(C12,D12,E12,F12,G12,H12,I12,J12,K12,L12,M12,N12,O12,P12,Q12,R12,S12,T12,V12,U12,W12,X12),"注文種類を選んでください")))</f>
        <v/>
      </c>
      <c r="J25" s="5" t="str">
        <f>IF(ISBLANK(B12),"",RIGHT(I25,LEN(I25)-258))</f>
        <v/>
      </c>
      <c r="K25" s="4"/>
      <c r="L25" s="4"/>
      <c r="M25" s="4"/>
      <c r="N25" s="4"/>
      <c r="O25" s="3"/>
    </row>
    <row r="26" spans="2:24">
      <c r="B26" s="2" t="str">
        <f t="shared" si="2"/>
        <v/>
      </c>
      <c r="C26" s="2" t="str">
        <f t="shared" ref="C26:C34" si="4">C13</f>
        <v/>
      </c>
      <c r="D26" s="2" t="str">
        <f>IF(E13="","",_xll.RssMarket(E13,"銘柄名称"))</f>
        <v/>
      </c>
      <c r="E26" s="2" t="str">
        <f>IF(J13="","",J13)</f>
        <v/>
      </c>
      <c r="F26" s="91" t="str">
        <f>IF(K13="","",IF(K13=0,_xll.RssMarket(K13,"現在値"),IF(K13=1,L13)))</f>
        <v/>
      </c>
      <c r="G26" s="91" t="str">
        <f t="shared" si="3"/>
        <v/>
      </c>
      <c r="I26" s="6" t="str">
        <f>IF(ISBLANK(B13),"",IF(B13=0,_xll.RssStockOrder(C13,D13,E13,F13,G13,H13,J13,K13,L13,M13,N13,O13,P13,Q13,R13,S13,T13,V13,W13,X13),IF(B13=1,_xll.RssMarginOpenOrder(C13,D13,E13,F13,G13,H13,I13,J13,K13,L13,M13,N13,O13,P13,Q13,R13,S13,T13,V13,U13,W13,X13),"注文種類を選んでください")))</f>
        <v/>
      </c>
      <c r="J26" s="5" t="str">
        <f t="shared" ref="J26:J34" si="5">IF(ISBLANK(B13),"",RIGHT(I26,LEN(I26)-258))</f>
        <v/>
      </c>
      <c r="K26" s="8"/>
      <c r="L26" s="8"/>
      <c r="M26" s="8"/>
      <c r="N26" s="8"/>
      <c r="O26" s="7"/>
    </row>
    <row r="27" spans="2:24">
      <c r="B27" s="2" t="str">
        <f t="shared" si="2"/>
        <v/>
      </c>
      <c r="C27" s="2" t="str">
        <f t="shared" si="4"/>
        <v/>
      </c>
      <c r="D27" s="2" t="str">
        <f>IF(E14="","",_xll.RssMarket(E14,"銘柄名称"))</f>
        <v/>
      </c>
      <c r="E27" s="2" t="str">
        <f t="shared" ref="E27:E34" si="6">IF(J14="","",J14)</f>
        <v/>
      </c>
      <c r="F27" s="91" t="str">
        <f>IF(K14="","",IF(K14=0,_xll.RssMarket(K14,"現在値"),IF(K14=1,L14)))</f>
        <v/>
      </c>
      <c r="G27" s="91" t="str">
        <f t="shared" si="3"/>
        <v/>
      </c>
      <c r="I27" s="6" t="str">
        <f>IF(ISBLANK(B14),"",IF(B14=0,_xll.RssStockOrder(C14,D14,E14,F14,G14,H14,J14,K14,L14,M14,N14,O14,P14,Q14,R14,S14,T14,V14,W14,X14),IF(B14=1,_xll.RssMarginOpenOrder(C14,D14,E14,F14,G14,H14,I14,J14,K14,L14,M14,N14,O14,P14,Q14,R14,S14,T14,V14,U14,W14,X14),"注文種類を選んでください")))</f>
        <v/>
      </c>
      <c r="J27" s="5" t="str">
        <f t="shared" si="5"/>
        <v/>
      </c>
      <c r="K27" s="4"/>
      <c r="L27" s="4"/>
      <c r="M27" s="4"/>
      <c r="N27" s="4"/>
      <c r="O27" s="3"/>
    </row>
    <row r="28" spans="2:24">
      <c r="B28" s="2" t="str">
        <f t="shared" si="2"/>
        <v/>
      </c>
      <c r="C28" s="2" t="str">
        <f t="shared" si="4"/>
        <v/>
      </c>
      <c r="D28" s="2" t="str">
        <f>IF(E15="","",_xll.RssMarket(E15,"銘柄名称"))</f>
        <v/>
      </c>
      <c r="E28" s="2" t="str">
        <f t="shared" si="6"/>
        <v/>
      </c>
      <c r="F28" s="91" t="str">
        <f>IF(K15="","",IF(K15=0,_xll.RssMarket(K15,"現在値"),IF(K15=1,L15)))</f>
        <v/>
      </c>
      <c r="G28" s="91" t="str">
        <f t="shared" si="3"/>
        <v/>
      </c>
      <c r="I28" s="6" t="str">
        <f>IF(ISBLANK(B15),"",IF(B15=0,_xll.RssStockOrder(C15,D15,E15,F15,G15,H15,J15,K15,L15,M15,N15,O15,P15,Q15,R15,S15,T15,V15,W15,X15),IF(B15=1,_xll.RssMarginOpenOrder(C15,D15,E15,F15,G15,H15,I15,J15,K15,L15,M15,N15,O15,P15,Q15,R15,S15,T15,V15,U15,W15,X15),"注文種類を選んでください")))</f>
        <v/>
      </c>
      <c r="J28" s="5" t="str">
        <f t="shared" si="5"/>
        <v/>
      </c>
      <c r="K28" s="4"/>
      <c r="L28" s="4"/>
      <c r="M28" s="4"/>
      <c r="N28" s="4"/>
      <c r="O28" s="3"/>
    </row>
    <row r="29" spans="2:24">
      <c r="B29" s="2" t="str">
        <f t="shared" si="2"/>
        <v/>
      </c>
      <c r="C29" s="2" t="str">
        <f t="shared" si="4"/>
        <v/>
      </c>
      <c r="D29" s="2" t="str">
        <f>IF(E16="","",_xll.RssMarket(E16,"銘柄名称"))</f>
        <v/>
      </c>
      <c r="E29" s="2" t="str">
        <f t="shared" si="6"/>
        <v/>
      </c>
      <c r="F29" s="91" t="str">
        <f>IF(K16="","",IF(K16=0,_xll.RssMarket(K16,"現在値"),IF(K16=1,L16)))</f>
        <v/>
      </c>
      <c r="G29" s="91" t="str">
        <f t="shared" si="3"/>
        <v/>
      </c>
      <c r="I29" s="6" t="str">
        <f>IF(ISBLANK(B16),"",IF(B16=0,_xll.RssStockOrder(C16,D16,E16,F16,G16,H16,J16,K16,L16,M16,N16,O16,P16,Q16,R16,S16,T16,V16,W16,X16),IF(B16=1,_xll.RssMarginOpenOrder(C16,D16,E16,F16,G16,H16,I16,J16,K16,L16,M16,N16,O16,P16,Q16,R16,S16,T16,V16,U16,W16,X16),"注文種類を選んでください")))</f>
        <v/>
      </c>
      <c r="J29" s="5" t="str">
        <f t="shared" si="5"/>
        <v/>
      </c>
      <c r="K29" s="4"/>
      <c r="L29" s="4"/>
      <c r="M29" s="4"/>
      <c r="N29" s="4"/>
      <c r="O29" s="3"/>
    </row>
    <row r="30" spans="2:24">
      <c r="B30" s="2" t="str">
        <f t="shared" si="2"/>
        <v/>
      </c>
      <c r="C30" s="2" t="str">
        <f t="shared" si="4"/>
        <v/>
      </c>
      <c r="D30" s="2" t="str">
        <f>IF(E17="","",_xll.RssMarket(E17,"銘柄名称"))</f>
        <v/>
      </c>
      <c r="E30" s="2" t="str">
        <f t="shared" si="6"/>
        <v/>
      </c>
      <c r="F30" s="91" t="str">
        <f>IF(K17="","",IF(K17=0,_xll.RssMarket(K17,"現在値"),IF(K17=1,L17)))</f>
        <v/>
      </c>
      <c r="G30" s="91" t="str">
        <f t="shared" si="3"/>
        <v/>
      </c>
      <c r="I30" s="6" t="str">
        <f>IF(ISBLANK(B17),"",IF(B17=0,_xll.RssStockOrder(C17,D17,E17,F17,G17,H17,J17,K17,L17,M17,N17,O17,P17,Q17,R17,S17,T17,V17,W17,X17),IF(B17=1,_xll.RssMarginOpenOrder(C17,D17,E17,F17,G17,H17,I17,J17,K17,L17,M17,N17,O17,P17,Q17,R17,S17,T17,V17,U17,W17,X17),"注文種類を選んでください")))</f>
        <v/>
      </c>
      <c r="J30" s="5" t="str">
        <f t="shared" si="5"/>
        <v/>
      </c>
      <c r="K30" s="4"/>
      <c r="L30" s="4"/>
      <c r="M30" s="4"/>
      <c r="N30" s="4"/>
      <c r="O30" s="3"/>
    </row>
    <row r="31" spans="2:24">
      <c r="B31" s="2" t="str">
        <f t="shared" si="2"/>
        <v/>
      </c>
      <c r="C31" s="2" t="str">
        <f t="shared" si="4"/>
        <v/>
      </c>
      <c r="D31" s="2" t="str">
        <f>IF(E18="","",_xll.RssMarket(E18,"銘柄名称"))</f>
        <v/>
      </c>
      <c r="E31" s="2" t="str">
        <f t="shared" si="6"/>
        <v/>
      </c>
      <c r="F31" s="91" t="str">
        <f>IF(K18="","",IF(K18=0,_xll.RssMarket(K18,"現在値"),IF(K18=1,L18)))</f>
        <v/>
      </c>
      <c r="G31" s="91" t="str">
        <f t="shared" si="3"/>
        <v/>
      </c>
      <c r="I31" s="6" t="str">
        <f>IF(ISBLANK(B18),"",IF(B18=0,_xll.RssStockOrder(C18,D18,E18,F18,G18,H18,J18,K18,L18,M18,N18,O18,P18,Q18,R18,S18,T18,V18,W18,X18),IF(B18=1,_xll.RssMarginOpenOrder(C18,D18,E18,F18,G18,H18,I18,J18,K18,L18,M18,N18,O18,P18,Q18,R18,S18,T18,V18,U18,W18,X18),"注文種類を選んでください")))</f>
        <v/>
      </c>
      <c r="J31" s="5" t="str">
        <f t="shared" si="5"/>
        <v/>
      </c>
      <c r="K31" s="4"/>
      <c r="L31" s="4"/>
      <c r="M31" s="4"/>
      <c r="N31" s="4"/>
      <c r="O31" s="3"/>
    </row>
    <row r="32" spans="2:24">
      <c r="B32" s="2" t="str">
        <f t="shared" si="2"/>
        <v/>
      </c>
      <c r="C32" s="2" t="str">
        <f t="shared" si="4"/>
        <v/>
      </c>
      <c r="D32" s="2" t="str">
        <f>IF(E19="","",_xll.RssMarket(E19,"銘柄名称"))</f>
        <v/>
      </c>
      <c r="E32" s="2" t="str">
        <f t="shared" si="6"/>
        <v/>
      </c>
      <c r="F32" s="91" t="str">
        <f>IF(K19="","",IF(K19=0,_xll.RssMarket(K19,"現在値"),IF(K19=1,L19)))</f>
        <v/>
      </c>
      <c r="G32" s="91" t="str">
        <f t="shared" si="3"/>
        <v/>
      </c>
      <c r="I32" s="6" t="str">
        <f>IF(ISBLANK(B19),"",IF(B19=0,_xll.RssStockOrder(C19,D19,E19,F19,G19,H19,J19,K19,L19,M19,N19,O19,P19,Q19,R19,S19,T19,V19,W19,X19),IF(B19=1,_xll.RssMarginOpenOrder(C19,D19,E19,F19,G19,H19,I19,J19,K19,L19,M19,N19,O19,P19,Q19,R19,S19,T19,V19,U19,W19,X19),"注文種類を選んでください")))</f>
        <v/>
      </c>
      <c r="J32" s="5" t="str">
        <f t="shared" si="5"/>
        <v/>
      </c>
      <c r="K32" s="4"/>
      <c r="L32" s="4"/>
      <c r="M32" s="4"/>
      <c r="N32" s="4"/>
      <c r="O32" s="3"/>
    </row>
    <row r="33" spans="2:15">
      <c r="B33" s="2" t="str">
        <f t="shared" si="2"/>
        <v/>
      </c>
      <c r="C33" s="2" t="str">
        <f t="shared" si="4"/>
        <v/>
      </c>
      <c r="D33" s="2" t="str">
        <f>IF(E20="","",_xll.RssMarket(E20,"銘柄名称"))</f>
        <v/>
      </c>
      <c r="E33" s="2" t="str">
        <f t="shared" si="6"/>
        <v/>
      </c>
      <c r="F33" s="91" t="str">
        <f>IF(K20="","",IF(K20=0,_xll.RssMarket(K20,"現在値"),IF(K20=1,L20)))</f>
        <v/>
      </c>
      <c r="G33" s="91" t="str">
        <f t="shared" si="3"/>
        <v/>
      </c>
      <c r="I33" s="6" t="str">
        <f>IF(ISBLANK(B20),"",IF(B20=0,_xll.RssStockOrder(C20,D20,E20,F20,G20,H20,J20,K20,L20,M20,N20,O20,P20,Q20,R20,S20,T20,V20,W20,X20),IF(B20=1,_xll.RssMarginOpenOrder(C20,D20,E20,F20,G20,H20,I20,J20,K20,L20,M20,N20,O20,P20,Q20,R20,S20,T20,V20,U20,W20,X20),"注文種類を選んでください")))</f>
        <v/>
      </c>
      <c r="J33" s="5" t="str">
        <f t="shared" si="5"/>
        <v/>
      </c>
      <c r="K33" s="4"/>
      <c r="L33" s="4"/>
      <c r="M33" s="4"/>
      <c r="N33" s="4"/>
      <c r="O33" s="3"/>
    </row>
    <row r="34" spans="2:15">
      <c r="B34" s="2" t="str">
        <f t="shared" si="2"/>
        <v/>
      </c>
      <c r="C34" s="2" t="str">
        <f t="shared" si="4"/>
        <v/>
      </c>
      <c r="D34" s="2" t="str">
        <f>IF(E21="","",_xll.RssMarket(E21,"銘柄名称"))</f>
        <v/>
      </c>
      <c r="E34" s="2" t="str">
        <f t="shared" si="6"/>
        <v/>
      </c>
      <c r="F34" s="91" t="str">
        <f>IF(K21="","",IF(K21=0,_xll.RssMarket(K21,"現在値"),IF(K21=1,L21)))</f>
        <v/>
      </c>
      <c r="G34" s="91" t="str">
        <f t="shared" si="3"/>
        <v/>
      </c>
      <c r="I34" s="6" t="str">
        <f>IF(ISBLANK(B21),"",IF(B21=0,_xll.RssStockOrder(C21,D21,E21,F21,G21,H21,J21,K21,L21,M21,N21,O21,P21,Q21,R21,S21,T21,V21,W21,X21),IF(B21=1,_xll.RssMarginOpenOrder(C21,D21,E21,F21,G21,H21,I21,J21,K21,L21,M21,N21,O21,P21,Q21,R21,S21,T21,V21,U21,W21,X21),"注文種類を選んでください")))</f>
        <v/>
      </c>
      <c r="J34" s="5" t="str">
        <f t="shared" si="5"/>
        <v/>
      </c>
      <c r="K34" s="4"/>
      <c r="L34" s="4"/>
      <c r="M34" s="4"/>
      <c r="N34" s="4"/>
      <c r="O34" s="3"/>
    </row>
    <row r="35" spans="2:15">
      <c r="F35" s="92" t="s">
        <v>1</v>
      </c>
      <c r="G35" s="92">
        <f ca="1">SUMIF($B$25:$G$34,"現物",$G$25:$G$34)</f>
        <v>0</v>
      </c>
    </row>
    <row r="36" spans="2:15">
      <c r="F36" s="92" t="s">
        <v>0</v>
      </c>
      <c r="G36" s="92">
        <f ca="1">SUMIF($B$25:$G$34,"信用",$G$25:$G$34)</f>
        <v>0</v>
      </c>
    </row>
  </sheetData>
  <mergeCells count="1">
    <mergeCell ref="D7:E7"/>
  </mergeCells>
  <phoneticPr fontId="4"/>
  <conditionalFormatting sqref="P12">
    <cfRule type="expression" dxfId="62" priority="46">
      <formula>G12=0</formula>
    </cfRule>
  </conditionalFormatting>
  <conditionalFormatting sqref="Q12">
    <cfRule type="expression" dxfId="61" priority="44">
      <formula>G12=0</formula>
    </cfRule>
  </conditionalFormatting>
  <conditionalFormatting sqref="R12">
    <cfRule type="expression" dxfId="60" priority="43">
      <formula>G12=0</formula>
    </cfRule>
  </conditionalFormatting>
  <conditionalFormatting sqref="W12">
    <cfRule type="expression" dxfId="59" priority="42">
      <formula>T12=0</formula>
    </cfRule>
  </conditionalFormatting>
  <conditionalFormatting sqref="K12:K21">
    <cfRule type="expression" dxfId="58" priority="31">
      <formula>$G12=2</formula>
    </cfRule>
  </conditionalFormatting>
  <conditionalFormatting sqref="L12">
    <cfRule type="expression" dxfId="57" priority="30">
      <formula>G12=2</formula>
    </cfRule>
    <cfRule type="expression" dxfId="56" priority="32">
      <formula>K12&lt;&gt;1</formula>
    </cfRule>
  </conditionalFormatting>
  <conditionalFormatting sqref="L18:L21">
    <cfRule type="expression" dxfId="55" priority="28">
      <formula>G18=2</formula>
    </cfRule>
    <cfRule type="expression" dxfId="54" priority="29">
      <formula>G18=0</formula>
    </cfRule>
  </conditionalFormatting>
  <conditionalFormatting sqref="L13:L17">
    <cfRule type="expression" dxfId="53" priority="26">
      <formula>G13=2</formula>
    </cfRule>
    <cfRule type="expression" dxfId="52" priority="27">
      <formula>K13&lt;&gt;1</formula>
    </cfRule>
  </conditionalFormatting>
  <conditionalFormatting sqref="I12:I21">
    <cfRule type="expression" dxfId="51" priority="24">
      <formula>B12&lt;&gt;1</formula>
    </cfRule>
  </conditionalFormatting>
  <conditionalFormatting sqref="N12:N21">
    <cfRule type="expression" dxfId="50" priority="23">
      <formula>M12&lt;&gt;5</formula>
    </cfRule>
  </conditionalFormatting>
  <conditionalFormatting sqref="S12:S21">
    <cfRule type="expression" dxfId="49" priority="10">
      <formula>R12=0</formula>
    </cfRule>
    <cfRule type="expression" dxfId="48" priority="15">
      <formula>G12=0</formula>
    </cfRule>
  </conditionalFormatting>
  <conditionalFormatting sqref="P13:P21">
    <cfRule type="expression" dxfId="47" priority="14">
      <formula>G13=0</formula>
    </cfRule>
  </conditionalFormatting>
  <conditionalFormatting sqref="Q13:Q21">
    <cfRule type="expression" dxfId="46" priority="13">
      <formula>G13=0</formula>
    </cfRule>
  </conditionalFormatting>
  <conditionalFormatting sqref="R13:R21">
    <cfRule type="expression" dxfId="45" priority="12">
      <formula>G13=0</formula>
    </cfRule>
  </conditionalFormatting>
  <conditionalFormatting sqref="S13:S21">
    <cfRule type="expression" dxfId="44" priority="11">
      <formula>G13=0</formula>
    </cfRule>
  </conditionalFormatting>
  <conditionalFormatting sqref="V12">
    <cfRule type="expression" dxfId="43" priority="9">
      <formula>T12=0</formula>
    </cfRule>
  </conditionalFormatting>
  <conditionalFormatting sqref="U12">
    <cfRule type="expression" dxfId="42" priority="37">
      <formula>T12=0</formula>
    </cfRule>
    <cfRule type="expression" dxfId="41" priority="38">
      <formula>B12=0</formula>
    </cfRule>
  </conditionalFormatting>
  <conditionalFormatting sqref="W13:W21">
    <cfRule type="expression" dxfId="40" priority="6">
      <formula>T13=0</formula>
    </cfRule>
  </conditionalFormatting>
  <conditionalFormatting sqref="V13:V21">
    <cfRule type="expression" dxfId="39" priority="3">
      <formula>T13=0</formula>
    </cfRule>
  </conditionalFormatting>
  <conditionalFormatting sqref="U13:U21">
    <cfRule type="expression" dxfId="38" priority="4">
      <formula>T13=0</formula>
    </cfRule>
    <cfRule type="expression" dxfId="37" priority="5">
      <formula>B13=0</formula>
    </cfRule>
  </conditionalFormatting>
  <conditionalFormatting sqref="X12:X21">
    <cfRule type="expression" dxfId="36" priority="1">
      <formula>W12&lt;&gt;5</formula>
    </cfRule>
    <cfRule type="expression" dxfId="35" priority="2">
      <formula>T12=0</formula>
    </cfRule>
  </conditionalFormatting>
  <dataValidations count="12">
    <dataValidation type="list" allowBlank="1" showInputMessage="1" showErrorMessage="1" errorTitle="売買区分　入力値エラー" error="1，3以外の数値は入力できません" promptTitle="売買区分" prompt="1:売（売建）_x000a_3:買（買建)" sqref="F12:F21" xr:uid="{00000000-0002-0000-0100-000000000000}">
      <formula1>"1,3"</formula1>
    </dataValidation>
    <dataValidation type="list" allowBlank="1" showInputMessage="1" showErrorMessage="1" errorTitle="入力値エラー" error="0，1以外の数値は入力できません" promptTitle="注文種類" prompt="0：現物_x000a_1：信用" sqref="B12:B21" xr:uid="{00000000-0002-0000-0100-000001000000}">
      <formula1>"0,1"</formula1>
    </dataValidation>
    <dataValidation type="list" allowBlank="1" showInputMessage="1" showErrorMessage="1" errorTitle="注文区分　入力値エラー" error="0,1,2以外の数値は入力できません" promptTitle="注文区分" prompt="0:通常注文_x000a_1:指値付通常注文_x000a_2:逆指値注文" sqref="G12:G21" xr:uid="{00000000-0002-0000-0100-000002000000}">
      <formula1>"0,1,2"</formula1>
    </dataValidation>
    <dataValidation type="list" allowBlank="1" showInputMessage="1" showErrorMessage="1" errorTitle="SOR区分" error="0，1以外の数値は入力できません" promptTitle="SOR区分" prompt="0:通常注文_x000a_1:SOR注文" sqref="H12:H21" xr:uid="{00000000-0002-0000-0100-000003000000}">
      <formula1>"0,1"</formula1>
    </dataValidation>
    <dataValidation type="list" allowBlank="1" showInputMessage="1" showErrorMessage="1" errorTitle="口座区分　入力値エラー" error="0,1,2以外の数値は入力できません" promptTitle="口座区分" prompt="0:特定_x000a_1:一般_x000a_2:NISA" sqref="O12:O21" xr:uid="{00000000-0002-0000-0100-000004000000}">
      <formula1>"0,1,2"</formula1>
    </dataValidation>
    <dataValidation type="list" allowBlank="1" showInputMessage="1" showErrorMessage="1" errorTitle="執行条件　入力値エラー" error="1,2,3,4,5,6,7以外の数値は入力できません" promptTitle="執行条件" prompt="1:本日中_x000a_2:今週中_x000a_3:寄付_x000a_4:引け_x000a_5:期間指定_x000a_6:大引不成_x000a_7:不成" sqref="M12:M21" xr:uid="{00000000-0002-0000-0100-000005000000}">
      <formula1>"1,2,3,4,5,6,7"</formula1>
    </dataValidation>
    <dataValidation type="list" allowBlank="1" showInputMessage="1" showErrorMessage="1" errorTitle="価格区分　入力値エラー" error="0，1以外の数値は入力できません" promptTitle="価格区分" prompt="0：成行_x000a_1：指値" sqref="K12:K21" xr:uid="{00000000-0002-0000-0100-000006000000}">
      <formula1>"0,1"</formula1>
    </dataValidation>
    <dataValidation type="list" allowBlank="1" showInputMessage="1" showErrorMessage="1" errorTitle="逆指値条件区分　入力値エラー" error="1,2以外の数値は入力できません" promptTitle="逆指値条件区分" prompt="1:以上_x000a_2:以下" sqref="Q12:Q21" xr:uid="{00000000-0002-0000-0100-000007000000}">
      <formula1>"1,2"</formula1>
    </dataValidation>
    <dataValidation type="list" allowBlank="1" showInputMessage="1" showErrorMessage="1" errorTitle="逆指値価格区分　入力値エラー" error="0,1以外の数値は入力できません" promptTitle="逆指値価格区分" prompt="0:成行_x000a_1:指値" sqref="R12:R21" xr:uid="{00000000-0002-0000-0100-000008000000}">
      <formula1>"0,1"</formula1>
    </dataValidation>
    <dataValidation type="list" allowBlank="1" showInputMessage="1" showErrorMessage="1" errorTitle="セット注文区分　入力値エラー" error="0,1以外の数値は入力できません" promptTitle="セット注文区分" prompt="0:予約しない_x000a_1:予約する" sqref="T12:T21" xr:uid="{00000000-0002-0000-0100-000009000000}">
      <formula1>"0,1"</formula1>
    </dataValidation>
    <dataValidation type="list" allowBlank="1" showInputMessage="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W12:W21" xr:uid="{00000000-0002-0000-0100-00000A000000}">
      <formula1>"1,2,3,4,5,6,7"</formula1>
    </dataValidation>
    <dataValidation type="list" allowBlank="1" showInputMessage="1" showErrorMessage="1" errorTitle="セット注文価格区分 入力値エラー" error="1,2以外の数値は入力できません" promptTitle="セット注文価格区分" prompt="1:指値_x000a_2:値幅指定_x000a_" sqref="U12:U21" xr:uid="{00000000-0002-0000-0100-00000B000000}">
      <formula1>"1,2"</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31"/>
  <sheetViews>
    <sheetView showGridLines="0" topLeftCell="A19" zoomScale="85" zoomScaleNormal="85" workbookViewId="0"/>
  </sheetViews>
  <sheetFormatPr defaultColWidth="9" defaultRowHeight="14.25"/>
  <cols>
    <col min="1" max="1" width="4" style="1" customWidth="1"/>
    <col min="2" max="2" width="8.5" style="1" customWidth="1"/>
    <col min="3" max="3" width="11.75" style="1" bestFit="1" customWidth="1"/>
    <col min="4" max="4" width="8.25" style="1" bestFit="1" customWidth="1"/>
    <col min="5" max="5" width="7.5" style="1" bestFit="1" customWidth="1"/>
    <col min="6" max="7" width="8.25" style="1" bestFit="1" customWidth="1"/>
    <col min="8" max="8" width="11.375" style="1" bestFit="1" customWidth="1"/>
    <col min="9" max="9" width="11.625" style="1" bestFit="1" customWidth="1"/>
    <col min="10" max="10" width="10" style="1" customWidth="1"/>
    <col min="11" max="11" width="9.5" style="1" bestFit="1" customWidth="1"/>
    <col min="12" max="12" width="11" style="1" bestFit="1" customWidth="1"/>
    <col min="13" max="13" width="10.5" style="1" customWidth="1"/>
    <col min="14" max="14" width="15" style="1" customWidth="1"/>
    <col min="15" max="15" width="15.375" style="1" bestFit="1" customWidth="1"/>
    <col min="16" max="17" width="17.5" style="1" bestFit="1" customWidth="1"/>
    <col min="18" max="19" width="15.375" style="1" bestFit="1" customWidth="1"/>
    <col min="20" max="16384" width="9" style="1"/>
  </cols>
  <sheetData>
    <row r="1" spans="1:20">
      <c r="A1" s="28"/>
    </row>
    <row r="2" spans="1:20" ht="21">
      <c r="A2" s="28"/>
      <c r="B2" s="25" t="s">
        <v>53</v>
      </c>
    </row>
    <row r="3" spans="1:20" ht="18">
      <c r="B3" s="24" t="s">
        <v>42</v>
      </c>
    </row>
    <row r="4" spans="1:20" ht="18">
      <c r="B4" s="24" t="s">
        <v>41</v>
      </c>
    </row>
    <row r="5" spans="1:20" ht="18">
      <c r="B5" s="24" t="s">
        <v>40</v>
      </c>
    </row>
    <row r="6" spans="1:20" ht="15.75">
      <c r="N6" s="23" t="str">
        <f>_xll.RssFOPCapacityList($N$7:$S$7)</f>
        <v>=@RssFOPCapacityList($N$7:$S$7) =&gt; 接続待ち</v>
      </c>
      <c r="O6" s="23"/>
      <c r="P6" s="23"/>
      <c r="Q6" s="23"/>
      <c r="R6" s="23"/>
      <c r="S6" s="23"/>
    </row>
    <row r="7" spans="1:20" ht="15.75">
      <c r="C7" s="107" t="s">
        <v>39</v>
      </c>
      <c r="D7" s="108"/>
      <c r="N7" s="22" t="s">
        <v>210</v>
      </c>
      <c r="O7" s="22" t="s">
        <v>211</v>
      </c>
      <c r="P7" s="22" t="s">
        <v>212</v>
      </c>
      <c r="Q7" s="22" t="s">
        <v>213</v>
      </c>
      <c r="R7" s="22" t="s">
        <v>214</v>
      </c>
      <c r="S7" s="22" t="s">
        <v>215</v>
      </c>
    </row>
    <row r="8" spans="1:20" ht="15.75">
      <c r="C8" s="21">
        <v>0</v>
      </c>
      <c r="D8" s="20" t="str">
        <f>IF(ISBLANK(C8),"",IF(OR(C8=0,C8=FALSE),"待機中",IF(OR(C8=1,C8=TRUE),"発注","")))</f>
        <v>待機中</v>
      </c>
      <c r="N8" s="19"/>
      <c r="O8" s="19"/>
      <c r="P8" s="19"/>
      <c r="Q8" s="19"/>
      <c r="R8" s="19"/>
      <c r="S8" s="19"/>
    </row>
    <row r="9" spans="1:20" ht="15.75">
      <c r="B9" s="27"/>
      <c r="N9" s="18" t="s">
        <v>220</v>
      </c>
      <c r="O9" s="18" t="s">
        <v>221</v>
      </c>
      <c r="P9" s="18" t="s">
        <v>220</v>
      </c>
      <c r="Q9" s="18" t="s">
        <v>52</v>
      </c>
      <c r="R9" s="18" t="s">
        <v>221</v>
      </c>
      <c r="S9" s="18" t="s">
        <v>221</v>
      </c>
    </row>
    <row r="10" spans="1:20" ht="16.5">
      <c r="B10" s="12" t="s">
        <v>33</v>
      </c>
    </row>
    <row r="11" spans="1:20">
      <c r="A11" s="15"/>
      <c r="B11" s="11" t="s">
        <v>8</v>
      </c>
      <c r="C11" s="11" t="s">
        <v>51</v>
      </c>
      <c r="D11" s="2" t="s">
        <v>47</v>
      </c>
      <c r="E11" s="2" t="s">
        <v>46</v>
      </c>
      <c r="F11" s="2" t="s">
        <v>50</v>
      </c>
      <c r="G11" s="2" t="s">
        <v>45</v>
      </c>
      <c r="H11" s="11" t="s">
        <v>29</v>
      </c>
      <c r="I11" s="11" t="s">
        <v>49</v>
      </c>
      <c r="J11" s="11" t="s">
        <v>48</v>
      </c>
      <c r="K11" s="11" t="s">
        <v>6</v>
      </c>
      <c r="L11" s="11" t="s">
        <v>24</v>
      </c>
      <c r="M11" s="11" t="s">
        <v>5</v>
      </c>
      <c r="N11" s="2" t="s">
        <v>174</v>
      </c>
      <c r="O11" s="94" t="s">
        <v>175</v>
      </c>
      <c r="P11" s="11" t="s">
        <v>22</v>
      </c>
      <c r="Q11" s="17" t="s">
        <v>20</v>
      </c>
      <c r="R11" s="17" t="s">
        <v>19</v>
      </c>
      <c r="S11" s="17" t="s">
        <v>18</v>
      </c>
      <c r="T11" s="17" t="s">
        <v>17</v>
      </c>
    </row>
    <row r="12" spans="1:20" s="15" customFormat="1" ht="15.75">
      <c r="A12" s="1"/>
      <c r="B12" s="14"/>
      <c r="C12" s="14" t="str">
        <f t="shared" ref="C12:C19" si="0">IF(D12="","",$C$8)</f>
        <v/>
      </c>
      <c r="D12" s="93"/>
      <c r="E12" s="13"/>
      <c r="F12" s="13"/>
      <c r="G12" s="13"/>
      <c r="H12" s="14" t="str">
        <f>IF(D12="","",_xll.RssFOPCode(D12,E12,F12,G12))</f>
        <v/>
      </c>
      <c r="I12" s="88"/>
      <c r="J12" s="88"/>
      <c r="K12" s="13"/>
      <c r="L12" s="88"/>
      <c r="M12" s="13"/>
      <c r="N12" s="88"/>
      <c r="O12" s="88"/>
      <c r="P12" s="13"/>
      <c r="Q12" s="13"/>
      <c r="R12" s="88"/>
      <c r="S12" s="88"/>
      <c r="T12" s="13"/>
    </row>
    <row r="13" spans="1:20" ht="15.75">
      <c r="B13" s="14" t="str">
        <f t="shared" ref="B13:B19" si="1">IF($B$12="","",B12+1)</f>
        <v/>
      </c>
      <c r="C13" s="14" t="str">
        <f t="shared" si="0"/>
        <v/>
      </c>
      <c r="D13" s="93"/>
      <c r="E13" s="13"/>
      <c r="F13" s="13"/>
      <c r="G13" s="13"/>
      <c r="H13" s="14" t="str">
        <f>IF(D13="","",_xll.RssFOPCode(D13,E13,F13,G13))</f>
        <v/>
      </c>
      <c r="I13" s="88"/>
      <c r="J13" s="88"/>
      <c r="K13" s="13"/>
      <c r="L13" s="88"/>
      <c r="M13" s="13"/>
      <c r="N13" s="88"/>
      <c r="O13" s="88"/>
      <c r="P13" s="13"/>
      <c r="Q13" s="13"/>
      <c r="R13" s="88"/>
      <c r="S13" s="88"/>
      <c r="T13" s="13"/>
    </row>
    <row r="14" spans="1:20" ht="15.75">
      <c r="B14" s="14" t="str">
        <f t="shared" si="1"/>
        <v/>
      </c>
      <c r="C14" s="14" t="str">
        <f t="shared" si="0"/>
        <v/>
      </c>
      <c r="D14" s="93"/>
      <c r="E14" s="13"/>
      <c r="F14" s="13"/>
      <c r="G14" s="13"/>
      <c r="H14" s="14" t="str">
        <f>IF(D14="","",_xll.RssFOPCode(D14,E14,F14,G14))</f>
        <v/>
      </c>
      <c r="I14" s="88"/>
      <c r="J14" s="88"/>
      <c r="K14" s="13"/>
      <c r="L14" s="88"/>
      <c r="M14" s="13"/>
      <c r="N14" s="88"/>
      <c r="O14" s="88"/>
      <c r="P14" s="13"/>
      <c r="Q14" s="13"/>
      <c r="R14" s="88"/>
      <c r="S14" s="88"/>
      <c r="T14" s="13"/>
    </row>
    <row r="15" spans="1:20" ht="15.75">
      <c r="B15" s="14" t="str">
        <f t="shared" si="1"/>
        <v/>
      </c>
      <c r="C15" s="14" t="str">
        <f t="shared" si="0"/>
        <v/>
      </c>
      <c r="D15" s="93"/>
      <c r="E15" s="13"/>
      <c r="F15" s="13"/>
      <c r="G15" s="13"/>
      <c r="H15" s="14" t="str">
        <f>IF(D15="","",_xll.RssFOPCode(D15,E15,F15,G15))</f>
        <v/>
      </c>
      <c r="I15" s="88"/>
      <c r="J15" s="88"/>
      <c r="K15" s="13"/>
      <c r="L15" s="88"/>
      <c r="M15" s="13"/>
      <c r="N15" s="88"/>
      <c r="O15" s="88"/>
      <c r="P15" s="13"/>
      <c r="Q15" s="13"/>
      <c r="R15" s="88"/>
      <c r="S15" s="88"/>
      <c r="T15" s="13"/>
    </row>
    <row r="16" spans="1:20" ht="15.75">
      <c r="B16" s="14" t="str">
        <f t="shared" si="1"/>
        <v/>
      </c>
      <c r="C16" s="14" t="str">
        <f t="shared" si="0"/>
        <v/>
      </c>
      <c r="D16" s="93"/>
      <c r="E16" s="13"/>
      <c r="F16" s="13"/>
      <c r="G16" s="13"/>
      <c r="H16" s="14" t="str">
        <f>IF(D16="","",_xll.RssFOPCode(D16,E16,F16,G16))</f>
        <v/>
      </c>
      <c r="I16" s="88"/>
      <c r="J16" s="88"/>
      <c r="K16" s="13"/>
      <c r="L16" s="88"/>
      <c r="M16" s="13"/>
      <c r="N16" s="88"/>
      <c r="O16" s="88"/>
      <c r="P16" s="13"/>
      <c r="Q16" s="13"/>
      <c r="R16" s="88"/>
      <c r="S16" s="88"/>
      <c r="T16" s="13"/>
    </row>
    <row r="17" spans="1:20" ht="15.75">
      <c r="B17" s="14" t="str">
        <f t="shared" si="1"/>
        <v/>
      </c>
      <c r="C17" s="14" t="str">
        <f t="shared" si="0"/>
        <v/>
      </c>
      <c r="D17" s="93"/>
      <c r="E17" s="13"/>
      <c r="F17" s="13"/>
      <c r="G17" s="13"/>
      <c r="H17" s="14" t="str">
        <f>IF(D17="","",_xll.RssFOPCode(D17,E17,F17,G17))</f>
        <v/>
      </c>
      <c r="I17" s="88"/>
      <c r="J17" s="88"/>
      <c r="K17" s="13"/>
      <c r="L17" s="88"/>
      <c r="M17" s="13"/>
      <c r="N17" s="88"/>
      <c r="O17" s="88"/>
      <c r="P17" s="13"/>
      <c r="Q17" s="13"/>
      <c r="R17" s="88"/>
      <c r="S17" s="88"/>
      <c r="T17" s="13"/>
    </row>
    <row r="18" spans="1:20" ht="15.75">
      <c r="B18" s="14" t="str">
        <f t="shared" si="1"/>
        <v/>
      </c>
      <c r="C18" s="14" t="str">
        <f t="shared" si="0"/>
        <v/>
      </c>
      <c r="D18" s="93"/>
      <c r="E18" s="13"/>
      <c r="F18" s="13"/>
      <c r="G18" s="13"/>
      <c r="H18" s="14" t="str">
        <f>IF(D18="","",_xll.RssFOPCode(D18,E18,F18,G18))</f>
        <v/>
      </c>
      <c r="I18" s="88"/>
      <c r="J18" s="88"/>
      <c r="K18" s="13"/>
      <c r="L18" s="88"/>
      <c r="M18" s="13"/>
      <c r="N18" s="88"/>
      <c r="O18" s="88"/>
      <c r="P18" s="13"/>
      <c r="Q18" s="13"/>
      <c r="R18" s="88"/>
      <c r="S18" s="88"/>
      <c r="T18" s="13"/>
    </row>
    <row r="19" spans="1:20" ht="15.75">
      <c r="B19" s="14" t="str">
        <f t="shared" si="1"/>
        <v/>
      </c>
      <c r="C19" s="14" t="str">
        <f t="shared" si="0"/>
        <v/>
      </c>
      <c r="D19" s="93"/>
      <c r="E19" s="13"/>
      <c r="F19" s="13"/>
      <c r="G19" s="13"/>
      <c r="H19" s="14" t="str">
        <f>IF(D19="","",_xll.RssFOPCode(D19,E19,F19,G19))</f>
        <v/>
      </c>
      <c r="I19" s="88"/>
      <c r="J19" s="88"/>
      <c r="K19" s="13"/>
      <c r="L19" s="88"/>
      <c r="M19" s="13"/>
      <c r="N19" s="88"/>
      <c r="O19" s="88"/>
      <c r="P19" s="13"/>
      <c r="Q19" s="13"/>
      <c r="R19" s="88"/>
      <c r="S19" s="88"/>
      <c r="T19" s="13"/>
    </row>
    <row r="21" spans="1:20" ht="16.5">
      <c r="B21" s="12" t="s">
        <v>11</v>
      </c>
      <c r="K21" s="12" t="s">
        <v>10</v>
      </c>
    </row>
    <row r="22" spans="1:20">
      <c r="B22" s="2" t="s">
        <v>8</v>
      </c>
      <c r="C22" s="109" t="s">
        <v>208</v>
      </c>
      <c r="D22" s="110"/>
      <c r="E22" s="111"/>
      <c r="F22" s="2" t="s">
        <v>6</v>
      </c>
      <c r="G22" s="2" t="s">
        <v>5</v>
      </c>
      <c r="H22" s="2" t="s">
        <v>4</v>
      </c>
      <c r="J22" s="2" t="s">
        <v>3</v>
      </c>
      <c r="K22" s="10" t="s">
        <v>2</v>
      </c>
      <c r="L22" s="10"/>
      <c r="M22" s="10"/>
      <c r="N22" s="10"/>
      <c r="O22" s="10"/>
      <c r="P22" s="9"/>
    </row>
    <row r="23" spans="1:20">
      <c r="B23" s="2" t="str">
        <f>IF($B$12="","",B12)</f>
        <v/>
      </c>
      <c r="C23" s="109" t="str">
        <f>IF(H12="","",_xll.RssFOPMarket(H12, "銘柄名称"))</f>
        <v/>
      </c>
      <c r="D23" s="110"/>
      <c r="E23" s="111"/>
      <c r="F23" s="2" t="str">
        <f>IF(K12="","",K12)</f>
        <v/>
      </c>
      <c r="G23" s="2" t="str">
        <f>IF(L12="","",IF(L12=0,_xll.RssFOPMarket(H12, "現在値"),M12))</f>
        <v/>
      </c>
      <c r="H23" s="2" t="str">
        <f>IF(F23="","",F23*G23)</f>
        <v/>
      </c>
      <c r="J23" s="26" t="str">
        <f>IF(ISBLANK(D12),"",_xll.RssFOPOpenOrder(B12,C12,H12,I12,J12,K12,L12,M12,N12,O12,P12,Q12,R12,S12,T12))</f>
        <v/>
      </c>
      <c r="K23" s="5" t="str">
        <f t="shared" ref="K23:K30" si="2">IF(ISBLANK(D12),"",RIGHT(J23,LEN(J23)-97))</f>
        <v/>
      </c>
      <c r="L23" s="8"/>
      <c r="M23" s="8"/>
      <c r="N23" s="8"/>
      <c r="O23" s="8"/>
      <c r="P23" s="7"/>
    </row>
    <row r="24" spans="1:20">
      <c r="B24" s="2" t="str">
        <f t="shared" ref="B24:B30" si="3">B13</f>
        <v/>
      </c>
      <c r="C24" s="109" t="str">
        <f>IF(H13="","",_xll.RssFOPMarket(H13, "銘柄名称"))</f>
        <v/>
      </c>
      <c r="D24" s="110"/>
      <c r="E24" s="111"/>
      <c r="F24" s="2" t="str">
        <f t="shared" ref="F24:F30" si="4">IF(K13="","",K13)</f>
        <v/>
      </c>
      <c r="G24" s="2" t="str">
        <f>IF(L13="","",IF(L13=0,_xll.RssFOPMarket(H13, "現在値"),M13))</f>
        <v/>
      </c>
      <c r="H24" s="2" t="str">
        <f t="shared" ref="H24:H30" si="5">IF(F24="","",F24*G24)</f>
        <v/>
      </c>
      <c r="J24" s="26" t="str">
        <f>IF(ISBLANK(D13),"",_xll.RssFOPOpenOrder(B13,C13,H13,I13,J13,K13,L13,M13,N13,O13,P13,Q13,R13,S13,T13))</f>
        <v/>
      </c>
      <c r="K24" s="5" t="str">
        <f t="shared" si="2"/>
        <v/>
      </c>
      <c r="L24" s="4"/>
      <c r="M24" s="4"/>
      <c r="N24" s="4"/>
      <c r="O24" s="4"/>
      <c r="P24" s="3"/>
    </row>
    <row r="25" spans="1:20">
      <c r="B25" s="2" t="str">
        <f t="shared" si="3"/>
        <v/>
      </c>
      <c r="C25" s="109" t="str">
        <f>IF(H14="","",_xll.RssFOPMarket(H14, "銘柄名称"))</f>
        <v/>
      </c>
      <c r="D25" s="110"/>
      <c r="E25" s="111"/>
      <c r="F25" s="2" t="str">
        <f t="shared" si="4"/>
        <v/>
      </c>
      <c r="G25" s="2" t="str">
        <f>IF(L14="","",IF(L14=0,_xll.RssFOPMarket(H14, "現在値"),M14))</f>
        <v/>
      </c>
      <c r="H25" s="2" t="str">
        <f t="shared" si="5"/>
        <v/>
      </c>
      <c r="J25" s="26" t="str">
        <f>IF(ISBLANK(D14),"",_xll.RssFOPOpenOrder(B14,C14,H14,I14,J14,K14,L14,M14,N14,O14,P14,Q14,R14,S14,T14))</f>
        <v/>
      </c>
      <c r="K25" s="5" t="str">
        <f t="shared" si="2"/>
        <v/>
      </c>
      <c r="L25" s="4"/>
      <c r="M25" s="4"/>
      <c r="N25" s="4"/>
      <c r="O25" s="4"/>
      <c r="P25" s="3"/>
      <c r="S25" s="15"/>
    </row>
    <row r="26" spans="1:20" s="15" customFormat="1">
      <c r="A26" s="1"/>
      <c r="B26" s="2" t="str">
        <f t="shared" si="3"/>
        <v/>
      </c>
      <c r="C26" s="109" t="str">
        <f>IF(H15="","",_xll.RssFOPMarket(H15, "銘柄名称"))</f>
        <v/>
      </c>
      <c r="D26" s="110"/>
      <c r="E26" s="111"/>
      <c r="F26" s="2" t="str">
        <f t="shared" si="4"/>
        <v/>
      </c>
      <c r="G26" s="2" t="str">
        <f>IF(L15="","",IF(L15=0,_xll.RssFOPMarket(H15, "現在値"),M15))</f>
        <v/>
      </c>
      <c r="H26" s="2" t="str">
        <f t="shared" si="5"/>
        <v/>
      </c>
      <c r="I26" s="1"/>
      <c r="J26" s="26" t="str">
        <f>IF(ISBLANK(D15),"",_xll.RssFOPOpenOrder(B15,C15,H15,I15,J15,K15,L15,M15,N15,O15,P15,Q15,R15,S15,T15))</f>
        <v/>
      </c>
      <c r="K26" s="5" t="str">
        <f t="shared" si="2"/>
        <v/>
      </c>
      <c r="L26" s="4"/>
      <c r="M26" s="4"/>
      <c r="N26" s="4"/>
      <c r="O26" s="4"/>
      <c r="P26" s="3"/>
      <c r="Q26" s="1"/>
      <c r="R26" s="1"/>
      <c r="S26" s="1"/>
    </row>
    <row r="27" spans="1:20">
      <c r="B27" s="2" t="str">
        <f t="shared" si="3"/>
        <v/>
      </c>
      <c r="C27" s="109" t="str">
        <f>IF(H16="","",_xll.RssFOPMarket(H16, "銘柄名称"))</f>
        <v/>
      </c>
      <c r="D27" s="110"/>
      <c r="E27" s="111"/>
      <c r="F27" s="2" t="str">
        <f t="shared" si="4"/>
        <v/>
      </c>
      <c r="G27" s="2" t="str">
        <f>IF(L16="","",IF(L16=0,_xll.RssFOPMarket(H16, "現在値"),M16))</f>
        <v/>
      </c>
      <c r="H27" s="2" t="str">
        <f t="shared" si="5"/>
        <v/>
      </c>
      <c r="J27" s="26" t="str">
        <f>IF(ISBLANK(D16),"",_xll.RssFOPOpenOrder(B16,C16,H16,I16,J16,K16,L16,M16,N16,O16,P16,Q16,R16,S16,T16))</f>
        <v/>
      </c>
      <c r="K27" s="5" t="str">
        <f t="shared" si="2"/>
        <v/>
      </c>
      <c r="L27" s="4"/>
      <c r="M27" s="4"/>
      <c r="N27" s="4"/>
      <c r="O27" s="4"/>
      <c r="P27" s="3"/>
    </row>
    <row r="28" spans="1:20">
      <c r="B28" s="2" t="str">
        <f t="shared" si="3"/>
        <v/>
      </c>
      <c r="C28" s="109" t="str">
        <f>IF(H17="","",_xll.RssFOPMarket(H17, "銘柄名称"))</f>
        <v/>
      </c>
      <c r="D28" s="110"/>
      <c r="E28" s="111"/>
      <c r="F28" s="2" t="str">
        <f t="shared" si="4"/>
        <v/>
      </c>
      <c r="G28" s="2" t="str">
        <f>IF(L17="","",IF(L17=0,_xll.RssFOPMarket(H17, "現在値"),M17))</f>
        <v/>
      </c>
      <c r="H28" s="2" t="str">
        <f t="shared" si="5"/>
        <v/>
      </c>
      <c r="J28" s="26" t="str">
        <f>IF(ISBLANK(D17),"",_xll.RssFOPOpenOrder(B17,C17,H17,I17,J17,K17,L17,M17,N17,O17,P17,Q17,R17,S17,T17))</f>
        <v/>
      </c>
      <c r="K28" s="5" t="str">
        <f t="shared" si="2"/>
        <v/>
      </c>
      <c r="L28" s="4"/>
      <c r="M28" s="4"/>
      <c r="N28" s="4"/>
      <c r="O28" s="4"/>
      <c r="P28" s="3"/>
    </row>
    <row r="29" spans="1:20">
      <c r="B29" s="2" t="str">
        <f t="shared" si="3"/>
        <v/>
      </c>
      <c r="C29" s="109" t="str">
        <f>IF(H18="","",_xll.RssFOPMarket(H18, "銘柄名称"))</f>
        <v/>
      </c>
      <c r="D29" s="110"/>
      <c r="E29" s="111"/>
      <c r="F29" s="2" t="str">
        <f t="shared" si="4"/>
        <v/>
      </c>
      <c r="G29" s="2" t="str">
        <f>IF(L18="","",IF(L18=0,_xll.RssFOPMarket(H18, "現在値"),M18))</f>
        <v/>
      </c>
      <c r="H29" s="2" t="str">
        <f t="shared" si="5"/>
        <v/>
      </c>
      <c r="J29" s="26" t="str">
        <f>IF(ISBLANK(D18),"",_xll.RssFOPOpenOrder(B18,C18,H18,I18,J18,K18,L18,M18,N18,O18,P18,Q18,R18,S18,T18))</f>
        <v/>
      </c>
      <c r="K29" s="5" t="str">
        <f t="shared" si="2"/>
        <v/>
      </c>
      <c r="L29" s="4"/>
      <c r="M29" s="4"/>
      <c r="N29" s="4"/>
      <c r="O29" s="4"/>
      <c r="P29" s="3"/>
    </row>
    <row r="30" spans="1:20">
      <c r="B30" s="2" t="str">
        <f t="shared" si="3"/>
        <v/>
      </c>
      <c r="C30" s="109" t="str">
        <f>IF(H19="","",_xll.RssFOPMarket(H19, "銘柄名称"))</f>
        <v/>
      </c>
      <c r="D30" s="110"/>
      <c r="E30" s="111"/>
      <c r="F30" s="2" t="str">
        <f t="shared" si="4"/>
        <v/>
      </c>
      <c r="G30" s="2" t="str">
        <f>IF(L19="","",IF(L19=0,_xll.RssFOPMarket(H19, "現在値"),M19))</f>
        <v/>
      </c>
      <c r="H30" s="2" t="str">
        <f t="shared" si="5"/>
        <v/>
      </c>
      <c r="J30" s="26" t="str">
        <f>IF(ISBLANK(D19),"",_xll.RssFOPOpenOrder(B19,C19,H19,I19,J19,K19,L19,M19,N19,O19,P19,Q19,R19,S19,T19))</f>
        <v/>
      </c>
      <c r="K30" s="5" t="str">
        <f t="shared" si="2"/>
        <v/>
      </c>
      <c r="L30" s="4"/>
      <c r="M30" s="4"/>
      <c r="N30" s="4"/>
      <c r="O30" s="4"/>
      <c r="P30" s="3"/>
    </row>
    <row r="31" spans="1:20">
      <c r="G31" s="2" t="s">
        <v>44</v>
      </c>
      <c r="H31" s="2">
        <f>SUM(H23:H30)</f>
        <v>0</v>
      </c>
    </row>
  </sheetData>
  <mergeCells count="10">
    <mergeCell ref="C26:E26"/>
    <mergeCell ref="C27:E27"/>
    <mergeCell ref="C28:E28"/>
    <mergeCell ref="C29:E29"/>
    <mergeCell ref="C30:E30"/>
    <mergeCell ref="C7:D7"/>
    <mergeCell ref="C22:E22"/>
    <mergeCell ref="C23:E23"/>
    <mergeCell ref="C24:E24"/>
    <mergeCell ref="C25:E25"/>
  </mergeCells>
  <phoneticPr fontId="4"/>
  <conditionalFormatting sqref="R12">
    <cfRule type="expression" dxfId="34" priority="19">
      <formula>J12=0</formula>
    </cfRule>
  </conditionalFormatting>
  <conditionalFormatting sqref="S12:S19">
    <cfRule type="expression" dxfId="33" priority="18">
      <formula>J12=0</formula>
    </cfRule>
  </conditionalFormatting>
  <conditionalFormatting sqref="P12:P19">
    <cfRule type="expression" dxfId="32" priority="17">
      <formula>O12&lt;&gt;5</formula>
    </cfRule>
  </conditionalFormatting>
  <conditionalFormatting sqref="T12:T19">
    <cfRule type="expression" dxfId="31" priority="15">
      <formula>J12=0</formula>
    </cfRule>
    <cfRule type="expression" dxfId="30" priority="16">
      <formula>S12=0</formula>
    </cfRule>
  </conditionalFormatting>
  <conditionalFormatting sqref="Q12">
    <cfRule type="expression" dxfId="29" priority="14">
      <formula>J12=0</formula>
    </cfRule>
  </conditionalFormatting>
  <conditionalFormatting sqref="R13:R19">
    <cfRule type="expression" dxfId="28" priority="13">
      <formula>J13=0</formula>
    </cfRule>
  </conditionalFormatting>
  <conditionalFormatting sqref="S13:S19">
    <cfRule type="expression" dxfId="27" priority="12">
      <formula>J13=0</formula>
    </cfRule>
  </conditionalFormatting>
  <conditionalFormatting sqref="Q13:Q19">
    <cfRule type="expression" dxfId="26" priority="11">
      <formula>J13=0</formula>
    </cfRule>
  </conditionalFormatting>
  <conditionalFormatting sqref="M12">
    <cfRule type="expression" dxfId="25" priority="10">
      <formula>L12=0</formula>
    </cfRule>
  </conditionalFormatting>
  <conditionalFormatting sqref="M19">
    <cfRule type="expression" dxfId="24" priority="1">
      <formula>L19=0</formula>
    </cfRule>
  </conditionalFormatting>
  <conditionalFormatting sqref="M13">
    <cfRule type="expression" dxfId="23" priority="7">
      <formula>L13=0</formula>
    </cfRule>
  </conditionalFormatting>
  <conditionalFormatting sqref="M14">
    <cfRule type="expression" dxfId="22" priority="6">
      <formula>L14=0</formula>
    </cfRule>
  </conditionalFormatting>
  <conditionalFormatting sqref="M15">
    <cfRule type="expression" dxfId="21" priority="5">
      <formula>L15=0</formula>
    </cfRule>
  </conditionalFormatting>
  <conditionalFormatting sqref="M16">
    <cfRule type="expression" dxfId="20" priority="4">
      <formula>L16=0</formula>
    </cfRule>
  </conditionalFormatting>
  <conditionalFormatting sqref="M17">
    <cfRule type="expression" dxfId="19" priority="3">
      <formula>L17=0</formula>
    </cfRule>
  </conditionalFormatting>
  <conditionalFormatting sqref="M18">
    <cfRule type="expression" dxfId="18" priority="2">
      <formula>L18=0</formula>
    </cfRule>
  </conditionalFormatting>
  <dataValidations count="8">
    <dataValidation type="list" allowBlank="1" showInputMessage="1" showErrorMessage="1" errorTitle="売買区分　入力値エラー" error="1，3以外の数値は入力できません" promptTitle="売買区分" prompt="1:売（売建）_x000a_3:買（買建)" sqref="I12:I19" xr:uid="{00000000-0002-0000-0200-000000000000}">
      <formula1>"1,3"</formula1>
    </dataValidation>
    <dataValidation type="list" allowBlank="1" showInputMessage="1" showErrorMessage="1" errorTitle="注文区分　入力値エラー" error="0,1,2以外の数値は入力できません" promptTitle="注文区分" prompt="0:通常注文_x000a_1:指値付通常注文_x000a_2:逆指値注文" sqref="J12:J19" xr:uid="{00000000-0002-0000-0200-000001000000}">
      <formula1>"0,1,2"</formula1>
    </dataValidation>
    <dataValidation type="list" allowBlank="1" showInputMessage="1" showErrorMessage="1" errorTitle="価格区分　入力値エラー" error="0，1以外の数値は入力できません" promptTitle="価格区分" prompt="0：成行_x000a_1：指値" sqref="L12:L19" xr:uid="{00000000-0002-0000-0200-000002000000}">
      <formula1>"0,1"</formula1>
    </dataValidation>
    <dataValidation type="list" allowBlank="1" showInputMessage="1" showErrorMessage="1" errorTitle="逆指値条件区分　入力値エラー" error="1,2以外の数値は入力できません" promptTitle="逆指値条件区分" prompt="1:以上_x000a_2:以下" sqref="R12:R19" xr:uid="{00000000-0002-0000-0200-000003000000}">
      <formula1>"1,2"</formula1>
    </dataValidation>
    <dataValidation type="list" allowBlank="1" showInputMessage="1" showErrorMessage="1" errorTitle="逆指値価格区分　入力値エラー" error="0,1以外の数値は入力できません" promptTitle="逆指値価格区分" prompt="0:成行_x000a_1:指値" sqref="S12:S19" xr:uid="{00000000-0002-0000-0200-000004000000}">
      <formula1>"0,1"</formula1>
    </dataValidation>
    <dataValidation type="list" allowBlank="1" showInputMessage="1" showErrorMessage="1" errorTitle="執行数量条件　入力値エラー" error="1,2,3以外の数値は入力できません" promptTitle="執行数量条件" prompt="1:FOK_x000a_2:FAK_x000a_3:FAS" sqref="N12:N19" xr:uid="{00000000-0002-0000-0200-000005000000}">
      <formula1>"1,2,3"</formula1>
    </dataValidation>
    <dataValidation type="list" allowBlank="1" showInputMessage="1" showErrorMessage="1" errorTitle="執行時間条件 入力値エラー" error="1,4,5,9以外の数値は入力できません" promptTitle="執行時間条件" prompt="1:当セッション_x000a_4:引け_x000a_5:期間指定_x000a_9:取引最終日" sqref="O12:O19" xr:uid="{00000000-0002-0000-0200-000006000000}">
      <formula1>"1,4,5,9"</formula1>
    </dataValidation>
    <dataValidation type="list" allowBlank="1" showInputMessage="1" showErrorMessage="1" errorTitle="銘柄種類　入力値エラー" error="入力されたコードが正しくありません" promptTitle="銘柄種類" prompt="N225F:日経225先物_x000a_N225MF:日経225先物ミニ_x000a_MOTF:東証マザーズ先物_x000a_N225OP:日経225オプション_x000a_TOPXF:TOPIX先物_x000a_JN400F:JPX日経400先物_x000a_GOLDF:金_x000a_GOLDMINIF:金ミニ_x000a_上記以外についてはヘルプをご参照ください_x000a__x000a__x000a__x000a_" sqref="D12:D19" xr:uid="{00000000-0002-0000-0200-000007000000}">
      <formula1>"N225F,N225MF,MOTF,N225OP,TOPXF,JN400F,GOLDF,GOLDMINIF,GOLDSPOTF,PLATINUMF,PLATINUMMINIF,PLATINUMSPOTF,SILVERF,PALLADIUMF,RSS3F,TSR20F,REDBEANF,SOYBEANF,CORNF"</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AA152"/>
  <sheetViews>
    <sheetView showGridLines="0" tabSelected="1" topLeftCell="J5" zoomScaleNormal="100" workbookViewId="0">
      <selection activeCell="N19" sqref="N19"/>
    </sheetView>
  </sheetViews>
  <sheetFormatPr defaultColWidth="9" defaultRowHeight="15.75"/>
  <cols>
    <col min="1" max="1" width="3.875" style="23" customWidth="1"/>
    <col min="2" max="2" width="16.125" style="23" customWidth="1"/>
    <col min="3" max="3" width="11.5" style="23" bestFit="1" customWidth="1"/>
    <col min="4" max="4" width="9.5" style="23" bestFit="1" customWidth="1"/>
    <col min="5" max="5" width="12.125" style="23" customWidth="1"/>
    <col min="6" max="6" width="13.5" style="23" bestFit="1" customWidth="1"/>
    <col min="7" max="7" width="11.25" style="23" customWidth="1"/>
    <col min="8" max="8" width="12.125" style="23" bestFit="1" customWidth="1"/>
    <col min="9" max="10" width="9.875" style="23" bestFit="1" customWidth="1"/>
    <col min="11" max="12" width="10.5" style="23" bestFit="1" customWidth="1"/>
    <col min="13" max="13" width="5" style="23" customWidth="1"/>
    <col min="14" max="14" width="15.75" style="23" customWidth="1"/>
    <col min="15" max="15" width="9.375" style="23" bestFit="1" customWidth="1"/>
    <col min="16" max="16" width="10" style="23" bestFit="1" customWidth="1"/>
    <col min="17" max="17" width="9" style="23" customWidth="1"/>
    <col min="18" max="18" width="15.375" style="23" customWidth="1"/>
    <col min="19" max="19" width="20.25" style="23" customWidth="1"/>
    <col min="20" max="20" width="22" style="23" customWidth="1"/>
    <col min="21" max="21" width="24.5" style="23" customWidth="1"/>
    <col min="22" max="22" width="9" style="23"/>
    <col min="23" max="23" width="9" style="23" customWidth="1"/>
    <col min="24" max="25" width="9" style="23"/>
    <col min="26" max="26" width="15" style="23" bestFit="1" customWidth="1"/>
    <col min="27" max="27" width="9.375" style="23" bestFit="1" customWidth="1"/>
    <col min="28" max="16384" width="9" style="23"/>
  </cols>
  <sheetData>
    <row r="2" spans="2:27" ht="21">
      <c r="B2" s="25" t="s">
        <v>148</v>
      </c>
    </row>
    <row r="3" spans="2:27" ht="18">
      <c r="B3" s="24" t="s">
        <v>147</v>
      </c>
    </row>
    <row r="4" spans="2:27" ht="18">
      <c r="B4" s="24" t="s">
        <v>146</v>
      </c>
    </row>
    <row r="5" spans="2:27" ht="18">
      <c r="B5" s="24" t="s">
        <v>145</v>
      </c>
      <c r="R5" s="23" t="str">
        <f>_xll.RssCapacityList($R$6:$U$6)</f>
        <v>=@RssCapacityList($R$6:$U$6) =&gt; 接続待ち</v>
      </c>
    </row>
    <row r="6" spans="2:27" ht="18">
      <c r="B6" s="24" t="s">
        <v>144</v>
      </c>
      <c r="R6" s="22" t="s">
        <v>143</v>
      </c>
      <c r="S6" s="22" t="s">
        <v>142</v>
      </c>
      <c r="T6" s="22" t="s">
        <v>141</v>
      </c>
      <c r="U6" s="22" t="s">
        <v>140</v>
      </c>
    </row>
    <row r="7" spans="2:27" ht="18">
      <c r="B7" s="24" t="s">
        <v>139</v>
      </c>
      <c r="R7" s="19">
        <v>26353</v>
      </c>
      <c r="S7" s="19"/>
      <c r="T7" s="19"/>
      <c r="U7" s="102"/>
    </row>
    <row r="8" spans="2:27" ht="18">
      <c r="B8" s="24" t="s">
        <v>138</v>
      </c>
      <c r="R8" s="64" t="s">
        <v>52</v>
      </c>
      <c r="S8" s="64" t="s">
        <v>52</v>
      </c>
      <c r="T8" s="64" t="s">
        <v>52</v>
      </c>
      <c r="U8" s="63" t="s">
        <v>52</v>
      </c>
    </row>
    <row r="9" spans="2:27">
      <c r="R9" s="18"/>
      <c r="S9" s="18"/>
      <c r="T9" s="18"/>
      <c r="U9" s="18"/>
    </row>
    <row r="10" spans="2:27">
      <c r="C10" s="112" t="s">
        <v>7</v>
      </c>
      <c r="D10" s="112"/>
      <c r="E10" s="22" t="s">
        <v>137</v>
      </c>
      <c r="F10" s="22" t="s">
        <v>136</v>
      </c>
    </row>
    <row r="11" spans="2:27" ht="16.5" thickBot="1">
      <c r="B11" s="62" t="s">
        <v>135</v>
      </c>
      <c r="C11" s="112" t="str">
        <f>_xll.RssMarket($K$16,"銘柄名称")</f>
        <v/>
      </c>
      <c r="D11" s="112"/>
      <c r="E11" s="45" t="str">
        <f>_xll.RssMarket($K$16,"市場名称")</f>
        <v/>
      </c>
      <c r="F11" s="45" t="str">
        <f>_xll.RssMarket($K$16,"信用貸借区分")</f>
        <v/>
      </c>
      <c r="S11" s="22" t="s">
        <v>134</v>
      </c>
      <c r="T11" s="22" t="s">
        <v>133</v>
      </c>
      <c r="U11" s="61" t="s">
        <v>132</v>
      </c>
      <c r="V11" s="23" t="s">
        <v>262</v>
      </c>
      <c r="W11" s="23" t="s">
        <v>263</v>
      </c>
      <c r="X11" s="23" t="s">
        <v>288</v>
      </c>
      <c r="Y11" s="23" t="s">
        <v>289</v>
      </c>
      <c r="Z11" s="23" t="s">
        <v>293</v>
      </c>
      <c r="AA11" s="23" t="s">
        <v>292</v>
      </c>
    </row>
    <row r="12" spans="2:27" ht="16.5" thickBot="1">
      <c r="R12" s="22" t="s">
        <v>131</v>
      </c>
      <c r="S12" s="32" cm="1">
        <f t="array" ref="S12">_xlfn.LET(
  _xlpm.r, K50:K1006,
  _xlpm.p, LOOKUP(2, 1/(ISNUMBER(_xlpm.r)), ROW(_xlpm.r)),
  INDEX(K:K, _xlpm.p)
)</f>
        <v>1155.2</v>
      </c>
      <c r="T12" s="32" cm="1">
        <f t="array" ref="T12">_xlfn.LET(
  _xlpm.r, L50:L1006,
  _xlpm.p, LOOKUP(2, 1/(ISNUMBER(_xlpm.r)), ROW(_xlpm.r)),
  INDEX(L:L, _xlpm.p)
)</f>
        <v>1154.0999999999999</v>
      </c>
      <c r="U12" s="60">
        <f>S12-T12</f>
        <v>1.1000000000001364</v>
      </c>
      <c r="V12" s="23" cm="1">
        <f t="array" ref="V12">_xlfn.LET(
  _xlpm.r, J50:J1006,
  _xlpm.p, LOOKUP(2, 1/(ISNUMBER(_xlpm.r)), ROW(_xlpm.r)),
  INDEX(J:J, _xlpm.p)
)</f>
        <v>1152</v>
      </c>
      <c r="W12" s="23" cm="1">
        <f t="array" ref="W12">_xlfn.LET(
  _xlpm.r, J50:J1006,
  _xlpm.p, LOOKUP(2, 1/(ISNUMBER(_xlpm.r)), ROW(_xlpm.r)),
  INDEX(J:J, _xlpm.p-1)
)</f>
        <v>1151</v>
      </c>
      <c r="X12" s="23" cm="1">
        <f t="array" ref="X12">_xlfn.LET(
  _xlpm.r, H51:H1006,
  _xlpm.p, LOOKUP(2, 1/(ISNUMBER(_xlpm.r)), ROW(_xlpm.r)),
  INDEX(H:H, _xlpm.p)
)</f>
        <v>1152</v>
      </c>
      <c r="Y12" s="23" cm="1">
        <f t="array" ref="Y12">_xlfn.LET(
  _xlpm.r, I51:I1006,
  _xlpm.p, LOOKUP(2, 1/(ISNUMBER(_xlpm.r)), ROW(_xlpm.r)),
  INDEX(I:I, _xlpm.p)
)</f>
        <v>1150</v>
      </c>
      <c r="Z12" s="23">
        <v>15</v>
      </c>
      <c r="AA12" s="23">
        <v>10</v>
      </c>
    </row>
    <row r="13" spans="2:27">
      <c r="B13" s="35" t="s">
        <v>130</v>
      </c>
      <c r="C13" s="46" t="str">
        <f>_xll.RssMarket($K$16,"現在値")</f>
        <v/>
      </c>
      <c r="D13" s="45" t="str">
        <f>_xll.RssMarket($K$16,"現在値時刻")</f>
        <v/>
      </c>
      <c r="E13" s="35" t="s">
        <v>129</v>
      </c>
      <c r="F13" s="44" t="str">
        <f>_xll.RssMarket($K$16,E13)</f>
        <v/>
      </c>
      <c r="G13" s="35" t="s">
        <v>128</v>
      </c>
      <c r="H13" s="101" t="str">
        <f>_xll.RssMarket($K$16,"出来高加重平均")</f>
        <v/>
      </c>
    </row>
    <row r="14" spans="2:27">
      <c r="B14" s="35" t="s">
        <v>127</v>
      </c>
      <c r="C14" s="46" t="str">
        <f>_xll.RssMarket($K$16,"最良売気配値")</f>
        <v/>
      </c>
      <c r="D14" s="45" t="str">
        <f>_xll.RssMarket($K$16,"最良売気配時刻")</f>
        <v/>
      </c>
      <c r="E14" s="35" t="s">
        <v>126</v>
      </c>
      <c r="F14" s="98" t="e">
        <f>_xll.RssMarket($K$16,E14)/100</f>
        <v>#VALUE!</v>
      </c>
      <c r="G14" s="22" t="s">
        <v>223</v>
      </c>
      <c r="H14" s="99" t="str">
        <f>_xll.RssMarket($K$16,"時価総額")</f>
        <v/>
      </c>
      <c r="R14" s="59" t="s">
        <v>125</v>
      </c>
      <c r="S14" s="58"/>
      <c r="T14" s="58"/>
      <c r="U14" s="57"/>
    </row>
    <row r="15" spans="2:27" ht="16.5" thickBot="1">
      <c r="B15" s="35" t="s">
        <v>124</v>
      </c>
      <c r="C15" s="46" t="str">
        <f>_xll.RssMarket($K$16,"最良買気配値")</f>
        <v/>
      </c>
      <c r="D15" s="45" t="str">
        <f>_xll.RssMarket($K$16,"最良買気配時刻")</f>
        <v/>
      </c>
      <c r="E15" s="35" t="s">
        <v>123</v>
      </c>
      <c r="F15" s="99" t="str">
        <f>_xll.RssMarket($K$16,E15)</f>
        <v/>
      </c>
      <c r="G15" s="22" t="s">
        <v>122</v>
      </c>
      <c r="H15" s="100" t="str">
        <f>_xll.RssMarket($K$16,G15)</f>
        <v/>
      </c>
      <c r="K15" s="112" t="s">
        <v>121</v>
      </c>
      <c r="L15" s="112"/>
      <c r="R15" s="56" t="s">
        <v>120</v>
      </c>
      <c r="S15" s="55">
        <v>1</v>
      </c>
      <c r="T15" s="54" t="s">
        <v>119</v>
      </c>
      <c r="U15" s="53"/>
      <c r="V15" s="23" t="str">
        <f>IF(OR(S15=1,S15=2),"OK","入力値NG")</f>
        <v>OK</v>
      </c>
    </row>
    <row r="16" spans="2:27" ht="16.5" thickBot="1">
      <c r="B16" s="35" t="s">
        <v>118</v>
      </c>
      <c r="C16" s="46" t="str">
        <f>_xll.RssMarket($K$16,"始値")</f>
        <v/>
      </c>
      <c r="D16" s="45" t="str">
        <f>_xll.RssMarket($K$16,"始値時刻")</f>
        <v/>
      </c>
      <c r="E16" s="35" t="s">
        <v>117</v>
      </c>
      <c r="F16" s="44" t="str">
        <f>_xll.RssMarket($K$16,E16)</f>
        <v/>
      </c>
      <c r="G16" s="22" t="s">
        <v>116</v>
      </c>
      <c r="H16" s="100" t="str">
        <f>_xll.RssMarket($K$16,G16)</f>
        <v/>
      </c>
      <c r="K16" s="113"/>
      <c r="L16" s="113"/>
      <c r="R16" s="52" t="s">
        <v>115</v>
      </c>
      <c r="S16" s="51">
        <v>1</v>
      </c>
      <c r="T16" s="23" t="s">
        <v>264</v>
      </c>
      <c r="U16" s="50"/>
      <c r="V16" s="23" t="str">
        <f>IF(ISNUMBER(S16),"OK","入力値NG")</f>
        <v>OK</v>
      </c>
    </row>
    <row r="17" spans="2:21">
      <c r="B17" s="35" t="s">
        <v>114</v>
      </c>
      <c r="C17" s="46" t="str">
        <f>_xll.RssMarket($K$16,"高値")</f>
        <v/>
      </c>
      <c r="D17" s="45" t="str">
        <f>_xll.RssMarket($K$16,"高値時刻")</f>
        <v/>
      </c>
      <c r="E17" s="35" t="s">
        <v>113</v>
      </c>
      <c r="F17" s="99" t="str">
        <f>_xll.RssMarket($K$16,E17)</f>
        <v/>
      </c>
      <c r="R17" s="49" t="str">
        <f>IF(OR(V15&lt;&gt;"OK",V16&lt;&gt;"OK"),"　トリガー条件を確認してください","　条件：移動平均の価格差が "&amp;S16&amp;IF(S15=1,"円以上となったら発注",IF(S15=2,"円以下となったら発注")))</f>
        <v>　条件：移動平均の価格差が 1円以上となったら発注</v>
      </c>
      <c r="S17" s="48"/>
      <c r="T17" s="48"/>
      <c r="U17" s="47"/>
    </row>
    <row r="18" spans="2:21">
      <c r="B18" s="35" t="s">
        <v>112</v>
      </c>
      <c r="C18" s="46" t="str">
        <f>_xll.RssMarket($K$16,"安値")</f>
        <v/>
      </c>
      <c r="D18" s="45" t="str">
        <f>_xll.RssMarket($K$16,"安値時刻")</f>
        <v/>
      </c>
      <c r="E18" s="35" t="s">
        <v>222</v>
      </c>
      <c r="F18" s="99" t="str">
        <f>_xll.RssMarket($K$16,"売買代金")</f>
        <v/>
      </c>
      <c r="H18" s="43"/>
      <c r="I18" s="23" t="s">
        <v>111</v>
      </c>
      <c r="R18" s="120" t="s">
        <v>110</v>
      </c>
      <c r="S18" s="121"/>
      <c r="T18" s="104" t="s">
        <v>38</v>
      </c>
      <c r="U18" s="104"/>
    </row>
    <row r="19" spans="2:21" ht="18.75" customHeight="1">
      <c r="H19" s="43"/>
      <c r="I19" s="112" t="s">
        <v>109</v>
      </c>
      <c r="J19" s="112"/>
      <c r="K19" s="112"/>
      <c r="L19" s="112"/>
      <c r="R19" s="42">
        <v>0</v>
      </c>
      <c r="S19" s="22" t="s">
        <v>108</v>
      </c>
      <c r="T19" s="39" t="str">
        <f>IF(
  AND(R19=1, AND(V15="OK", V16="OK")),
  IF(
    S15=1,
      IF(V12 &gt; W12, 1, 0),
      IF(
        S15=2,
        IF(V12 &lt; W12, 1, 0)
      )
  ),
  "-"
)</f>
        <v>-</v>
      </c>
      <c r="U19" s="97" t="str">
        <f>IF(ISBLANK(T19),"",IF(OR(T19=0,T19=FALSE),"待機中",IF(OR(T19=1,T19=TRUE),"発注",IF(T19="-","未監視"))))</f>
        <v>未監視</v>
      </c>
    </row>
    <row r="20" spans="2:21" ht="18.75" customHeight="1">
      <c r="G20" s="22" t="s">
        <v>61</v>
      </c>
      <c r="H20" s="22" t="s">
        <v>107</v>
      </c>
      <c r="I20" s="122" t="s">
        <v>106</v>
      </c>
      <c r="J20" s="122"/>
      <c r="K20" s="124" t="s">
        <v>105</v>
      </c>
      <c r="L20" s="124"/>
      <c r="N20" s="27" t="s">
        <v>104</v>
      </c>
      <c r="O20" s="41" t="e">
        <f>IF(O26="","-",IF(O26=0,_xll.RssStockOrder(O22,T19,O23,O27,O28,O29,O31,O32,O33,O34,O35,O36,O37,O38,O39,O40,O41,O43,O44,O45),IF(O26=1,_xll.RssMarginOpenOrder(O22,T19,O23,O27,O28,O29,O30,O31,O32,O33,O34,O35,O36,O37,O38,O39,O40,O41,O42,O43,O44,O45),"注文種類を選んでください")))</f>
        <v>#VALUE!</v>
      </c>
      <c r="P20" s="96" t="e">
        <f>IF(O26="","注文種類を選んでください",RIGHT(O20,LEN(O20)-253))</f>
        <v>#VALUE!</v>
      </c>
    </row>
    <row r="21" spans="2:21">
      <c r="G21" s="79" t="s">
        <v>290</v>
      </c>
      <c r="H21" s="79">
        <v>90</v>
      </c>
      <c r="I21" s="123">
        <v>5</v>
      </c>
      <c r="J21" s="123"/>
      <c r="K21" s="123">
        <v>25</v>
      </c>
      <c r="L21" s="123"/>
      <c r="N21" s="38" t="s">
        <v>98</v>
      </c>
      <c r="O21" s="40" t="s">
        <v>103</v>
      </c>
      <c r="P21" s="36" t="s">
        <v>96</v>
      </c>
      <c r="Q21" s="119" t="s">
        <v>102</v>
      </c>
      <c r="R21" s="106"/>
      <c r="S21" s="106"/>
      <c r="T21" s="106"/>
      <c r="U21" s="106"/>
    </row>
    <row r="22" spans="2:21">
      <c r="N22" s="34" t="s">
        <v>101</v>
      </c>
      <c r="O22" s="39"/>
      <c r="P22" s="20" t="s">
        <v>73</v>
      </c>
      <c r="Q22" s="128" t="s">
        <v>100</v>
      </c>
      <c r="R22" s="105"/>
      <c r="S22" s="105"/>
      <c r="T22" s="105"/>
      <c r="U22" s="105"/>
    </row>
    <row r="23" spans="2:21">
      <c r="N23" s="34" t="s">
        <v>29</v>
      </c>
      <c r="O23" s="39">
        <f>K16</f>
        <v>0</v>
      </c>
      <c r="P23" s="20" t="str">
        <f>_xll.RssMarket(O23,"銘柄名称")</f>
        <v/>
      </c>
      <c r="Q23" s="114" t="s">
        <v>99</v>
      </c>
      <c r="R23" s="115"/>
      <c r="S23" s="115"/>
      <c r="T23" s="115"/>
      <c r="U23" s="116"/>
    </row>
    <row r="25" spans="2:21">
      <c r="N25" s="38" t="s">
        <v>98</v>
      </c>
      <c r="O25" s="37" t="s">
        <v>97</v>
      </c>
      <c r="P25" s="36" t="s">
        <v>96</v>
      </c>
      <c r="Q25" s="117" t="s">
        <v>95</v>
      </c>
      <c r="R25" s="118"/>
      <c r="S25" s="118"/>
      <c r="T25" s="118"/>
      <c r="U25" s="119"/>
    </row>
    <row r="26" spans="2:21">
      <c r="N26" s="22" t="s">
        <v>94</v>
      </c>
      <c r="O26" s="88">
        <v>1</v>
      </c>
      <c r="P26" s="20" t="str">
        <f>IF(ISBLANK(O26),"",IF(O26=0,"現物",IF(O26=1,"信用","エラー")))</f>
        <v>信用</v>
      </c>
      <c r="Q26" s="125" t="s">
        <v>93</v>
      </c>
      <c r="R26" s="125"/>
      <c r="S26" s="125"/>
      <c r="T26" s="125"/>
      <c r="U26" s="125"/>
    </row>
    <row r="27" spans="2:21">
      <c r="N27" s="34" t="s">
        <v>49</v>
      </c>
      <c r="O27" s="88">
        <v>3</v>
      </c>
      <c r="P27" s="20" t="str">
        <f>IF(ISBLANK(O27),"",IF(O27=1,"売り注文",IF(O27=3,"買い注文","")))</f>
        <v>買い注文</v>
      </c>
      <c r="Q27" s="114" t="s">
        <v>92</v>
      </c>
      <c r="R27" s="115"/>
      <c r="S27" s="115"/>
      <c r="T27" s="115"/>
      <c r="U27" s="116"/>
    </row>
    <row r="28" spans="2:21">
      <c r="N28" s="34" t="s">
        <v>91</v>
      </c>
      <c r="O28" s="88">
        <v>0</v>
      </c>
      <c r="P28" s="20" t="str">
        <f>IF(ISBLANK(O28),"",IF(O28=0,"通常注文",IF(O28=1,"逆指値付通常注文",IF(O28=2,"逆指値注文"))))</f>
        <v>通常注文</v>
      </c>
      <c r="Q28" s="114" t="s">
        <v>90</v>
      </c>
      <c r="R28" s="115"/>
      <c r="S28" s="115"/>
      <c r="T28" s="115"/>
      <c r="U28" s="116"/>
    </row>
    <row r="29" spans="2:21">
      <c r="N29" s="34" t="s">
        <v>89</v>
      </c>
      <c r="O29" s="88">
        <v>1</v>
      </c>
      <c r="P29" s="20" t="str">
        <f>IF(ISBLANK(O29),"",IF(O29=0,"通常注文",IF(O29=1,"SOR注文","")))</f>
        <v>SOR注文</v>
      </c>
      <c r="Q29" s="114" t="s">
        <v>88</v>
      </c>
      <c r="R29" s="115"/>
      <c r="S29" s="115"/>
      <c r="T29" s="115"/>
      <c r="U29" s="116"/>
    </row>
    <row r="30" spans="2:21">
      <c r="N30" s="35" t="str">
        <f>IF(O26=0,"",IF(O26=1,"信用区分"))</f>
        <v>信用区分</v>
      </c>
      <c r="O30" s="88">
        <v>4</v>
      </c>
      <c r="P30" s="45" t="str">
        <f>IF(ISBLANK(O30),"",IF(O30=1,"制度（6ヶ月）",IF(O30=2,"一般（無制限）",IF(O30=3,"一般（14日）",IF(O30=4,"一般（いちにち）","")))))</f>
        <v>一般（いちにち）</v>
      </c>
      <c r="Q30" s="114" t="str">
        <f>IF(O26=0,"",IF(O26=1,"1：制度信用（6ヶ月）、2：一般信用（無制限）、3：一般信用（14日）、4：一般信用（いちにち）"))</f>
        <v>1：制度信用（6ヶ月）、2：一般信用（無制限）、3：一般信用（14日）、4：一般信用（いちにち）</v>
      </c>
      <c r="R30" s="115"/>
      <c r="S30" s="115"/>
      <c r="T30" s="115"/>
      <c r="U30" s="116"/>
    </row>
    <row r="31" spans="2:21">
      <c r="N31" s="34" t="s">
        <v>6</v>
      </c>
      <c r="O31" s="33"/>
      <c r="P31" s="20" t="s">
        <v>73</v>
      </c>
      <c r="Q31" s="114" t="s">
        <v>87</v>
      </c>
      <c r="R31" s="115"/>
      <c r="S31" s="115"/>
      <c r="T31" s="115"/>
      <c r="U31" s="116"/>
    </row>
    <row r="32" spans="2:21" ht="15.75" customHeight="1">
      <c r="N32" s="34" t="s">
        <v>86</v>
      </c>
      <c r="O32" s="88">
        <v>0</v>
      </c>
      <c r="P32" s="20" t="str">
        <f>IF(ISBLANK(O32),"",IF(O32=0,"成行",IF(O32=1,"指値","")))</f>
        <v>成行</v>
      </c>
      <c r="Q32" s="126" t="s">
        <v>217</v>
      </c>
      <c r="R32" s="127"/>
      <c r="S32" s="127"/>
      <c r="T32" s="127"/>
      <c r="U32" s="128"/>
    </row>
    <row r="33" spans="14:21">
      <c r="N33" s="34" t="s">
        <v>85</v>
      </c>
      <c r="O33" s="33"/>
      <c r="P33" s="20" t="s">
        <v>73</v>
      </c>
      <c r="Q33" s="114" t="s">
        <v>84</v>
      </c>
      <c r="R33" s="115"/>
      <c r="S33" s="115"/>
      <c r="T33" s="115"/>
      <c r="U33" s="116"/>
    </row>
    <row r="34" spans="14:21">
      <c r="N34" s="34" t="s">
        <v>83</v>
      </c>
      <c r="O34" s="88">
        <v>1</v>
      </c>
      <c r="P34" s="20" t="str">
        <f>IF(ISBLANK(O34),"",IF(O34=1,"本日中",IF(O34=3,"寄付",IF(O34=4,"引け",IF(O34=5,"期間指定",IF(O34=6,"大引け不成",IF(O34=7,"不成","")))))))</f>
        <v>本日中</v>
      </c>
      <c r="Q34" s="114" t="s">
        <v>207</v>
      </c>
      <c r="R34" s="115"/>
      <c r="S34" s="115"/>
      <c r="T34" s="115"/>
      <c r="U34" s="116"/>
    </row>
    <row r="35" spans="14:21">
      <c r="N35" s="34" t="s">
        <v>82</v>
      </c>
      <c r="O35" s="33"/>
      <c r="P35" s="20" t="s">
        <v>65</v>
      </c>
      <c r="Q35" s="114" t="s">
        <v>81</v>
      </c>
      <c r="R35" s="115"/>
      <c r="S35" s="115"/>
      <c r="T35" s="115"/>
      <c r="U35" s="116"/>
    </row>
    <row r="36" spans="14:21">
      <c r="N36" s="34" t="s">
        <v>21</v>
      </c>
      <c r="O36" s="88">
        <v>0</v>
      </c>
      <c r="P36" s="20" t="str">
        <f>IF(ISBLANK(O36),"",IF(O36=0,"特定",IF(O36=1,"一般",IF(O36=2,"NISA",""))))</f>
        <v>特定</v>
      </c>
      <c r="Q36" s="114" t="s">
        <v>218</v>
      </c>
      <c r="R36" s="115"/>
      <c r="S36" s="115"/>
      <c r="T36" s="115"/>
      <c r="U36" s="116"/>
    </row>
    <row r="37" spans="14:21">
      <c r="N37" s="34" t="s">
        <v>80</v>
      </c>
      <c r="O37" s="33"/>
      <c r="P37" s="20" t="s">
        <v>73</v>
      </c>
      <c r="Q37" s="114" t="s">
        <v>79</v>
      </c>
      <c r="R37" s="115"/>
      <c r="S37" s="115"/>
      <c r="T37" s="115"/>
      <c r="U37" s="116"/>
    </row>
    <row r="38" spans="14:21">
      <c r="N38" s="34" t="s">
        <v>78</v>
      </c>
      <c r="O38" s="33"/>
      <c r="P38" s="20" t="str">
        <f>IF(AND(O28&lt;&gt;1,O28&lt;&gt;2),"ー",IF(ISBLANK(O38),"",IF(O38=1,"以上",IF(O38=2,"以下",""))))</f>
        <v>ー</v>
      </c>
      <c r="Q38" s="114" t="s">
        <v>77</v>
      </c>
      <c r="R38" s="115"/>
      <c r="S38" s="115"/>
      <c r="T38" s="115"/>
      <c r="U38" s="116"/>
    </row>
    <row r="39" spans="14:21">
      <c r="N39" s="34" t="s">
        <v>76</v>
      </c>
      <c r="O39" s="33"/>
      <c r="P39" s="20" t="str">
        <f>IF(AND(O28&lt;&gt;1,O28&lt;&gt;2),"ー",IF(ISBLANK(O39),"",IF(O39=0,"成行",IF(O39=1,"指値",""))))</f>
        <v>ー</v>
      </c>
      <c r="Q39" s="126" t="s">
        <v>75</v>
      </c>
      <c r="R39" s="127"/>
      <c r="S39" s="127"/>
      <c r="T39" s="127"/>
      <c r="U39" s="128"/>
    </row>
    <row r="40" spans="14:21">
      <c r="N40" s="34" t="s">
        <v>74</v>
      </c>
      <c r="O40" s="33"/>
      <c r="P40" s="20" t="s">
        <v>73</v>
      </c>
      <c r="Q40" s="114" t="s">
        <v>72</v>
      </c>
      <c r="R40" s="115"/>
      <c r="S40" s="115"/>
      <c r="T40" s="115"/>
      <c r="U40" s="116"/>
    </row>
    <row r="41" spans="14:21">
      <c r="N41" s="34" t="s">
        <v>71</v>
      </c>
      <c r="O41" s="33">
        <v>1</v>
      </c>
      <c r="P41" s="20" t="str">
        <f>IF(ISBLANK(O41),"予約しない",IF(O41=0,"予約しない",IF(O41=1,"予約する")))</f>
        <v>予約する</v>
      </c>
      <c r="Q41" s="114" t="s">
        <v>70</v>
      </c>
      <c r="R41" s="115"/>
      <c r="S41" s="115"/>
      <c r="T41" s="115"/>
      <c r="U41" s="116"/>
    </row>
    <row r="42" spans="14:21">
      <c r="N42" s="35" t="str">
        <f>IF(O26=0,"",IF(O26=1,"セット注文価格区分"))</f>
        <v>セット注文価格区分</v>
      </c>
      <c r="O42" s="88">
        <v>1</v>
      </c>
      <c r="P42" s="45" t="str">
        <f>IF(OR(ISBLANK(O42),O41&lt;&gt;1),"",IF(O42=1,"指値",IF(O42=2,"値幅指定","")))</f>
        <v>指値</v>
      </c>
      <c r="Q42" s="114" t="str">
        <f>IF(O26=0,"",IF(O26=1,"1：指値  2：値幅指定　(セット注文区分が「1：セット注文(予約する)」の場合、必須。)"))</f>
        <v>1：指値  2：値幅指定　(セット注文区分が「1：セット注文(予約する)」の場合、必須。)</v>
      </c>
      <c r="R42" s="115"/>
      <c r="S42" s="115"/>
      <c r="T42" s="115"/>
      <c r="U42" s="116"/>
    </row>
    <row r="43" spans="14:21">
      <c r="N43" s="34" t="s">
        <v>69</v>
      </c>
      <c r="O43" s="33">
        <f>IF(S15=1,V12+30,IF(
       S15=2,V12-30,"-"))</f>
        <v>1182</v>
      </c>
      <c r="P43" s="20" t="s">
        <v>65</v>
      </c>
      <c r="Q43" s="114" t="s">
        <v>68</v>
      </c>
      <c r="R43" s="115"/>
      <c r="S43" s="115"/>
      <c r="T43" s="115"/>
      <c r="U43" s="116"/>
    </row>
    <row r="44" spans="14:21">
      <c r="N44" s="34" t="s">
        <v>67</v>
      </c>
      <c r="O44" s="89">
        <v>6</v>
      </c>
      <c r="P44" s="20" t="str">
        <f>IF(O41&lt;&gt;1,"ー",IF(ISBLANK(O44),"",IF(O44=1,"本日中",IF(O44=5,"期間指定",IF(O44=6,"大引け不成",IF(O44=7,"不成",""))))))</f>
        <v>大引け不成</v>
      </c>
      <c r="Q44" s="114" t="s">
        <v>206</v>
      </c>
      <c r="R44" s="115"/>
      <c r="S44" s="115"/>
      <c r="T44" s="115"/>
      <c r="U44" s="116"/>
    </row>
    <row r="45" spans="14:21">
      <c r="N45" s="34" t="s">
        <v>66</v>
      </c>
      <c r="O45" s="33"/>
      <c r="P45" s="20" t="s">
        <v>65</v>
      </c>
      <c r="Q45" s="116" t="s">
        <v>64</v>
      </c>
      <c r="R45" s="125"/>
      <c r="S45" s="125"/>
      <c r="T45" s="125"/>
      <c r="U45" s="125"/>
    </row>
    <row r="49" spans="2:12">
      <c r="B49" s="23" t="str">
        <f>_xll.RssChart(B50:J50,$K$16,G21,H21)</f>
        <v>=@RssChart(B50:J50,$K$16,G21,H21) =&gt; マーケットスピード II にログインして「接続中」の状態に変更してから利用してください。</v>
      </c>
      <c r="K49" s="23" t="str">
        <f>_xll.RssTrendSMA(K50:L50,$K$16,G21,H21,I21,K21,,,)</f>
        <v>=@RssTrendSMA(K50:L50,$K$16,G21,H21,I21,K21,,,) =&gt; マーケットスピード II にログインして「接続中」の状態に変更してから利用してください。</v>
      </c>
    </row>
    <row r="50" spans="2:12">
      <c r="B50" s="22" t="s">
        <v>63</v>
      </c>
      <c r="C50" s="22" t="s">
        <v>62</v>
      </c>
      <c r="D50" s="22" t="s">
        <v>209</v>
      </c>
      <c r="E50" s="22" t="s">
        <v>181</v>
      </c>
      <c r="F50" s="22" t="s">
        <v>60</v>
      </c>
      <c r="G50" s="22" t="s">
        <v>59</v>
      </c>
      <c r="H50" s="22" t="s">
        <v>58</v>
      </c>
      <c r="I50" s="22" t="s">
        <v>57</v>
      </c>
      <c r="J50" s="22" t="s">
        <v>56</v>
      </c>
      <c r="K50" s="22" t="s">
        <v>55</v>
      </c>
      <c r="L50" s="22" t="s">
        <v>54</v>
      </c>
    </row>
    <row r="51" spans="2:12">
      <c r="B51" s="31" t="s">
        <v>261</v>
      </c>
      <c r="C51" s="31" t="s">
        <v>227</v>
      </c>
      <c r="D51" s="31" t="s">
        <v>236</v>
      </c>
      <c r="E51" s="29" t="s">
        <v>237</v>
      </c>
      <c r="F51" s="30">
        <v>578900</v>
      </c>
      <c r="G51" s="30">
        <v>1187</v>
      </c>
      <c r="H51" s="30">
        <v>1193</v>
      </c>
      <c r="I51" s="30">
        <v>1178</v>
      </c>
      <c r="J51" s="30">
        <v>1189</v>
      </c>
      <c r="K51" s="32">
        <v>1182.8</v>
      </c>
      <c r="L51" s="32">
        <v>1190.8</v>
      </c>
    </row>
    <row r="52" spans="2:12">
      <c r="B52" s="22"/>
      <c r="C52" s="22"/>
      <c r="D52" s="22" t="s">
        <v>236</v>
      </c>
      <c r="E52" s="29" t="s">
        <v>238</v>
      </c>
      <c r="F52" s="30">
        <v>226700</v>
      </c>
      <c r="G52" s="30">
        <v>1190</v>
      </c>
      <c r="H52" s="30">
        <v>1191</v>
      </c>
      <c r="I52" s="30">
        <v>1181</v>
      </c>
      <c r="J52" s="30">
        <v>1188</v>
      </c>
      <c r="K52" s="32">
        <v>1182.9000000000001</v>
      </c>
      <c r="L52" s="32">
        <v>1190.5999999999999</v>
      </c>
    </row>
    <row r="53" spans="2:12">
      <c r="B53" s="22"/>
      <c r="C53" s="22"/>
      <c r="D53" s="22" t="s">
        <v>236</v>
      </c>
      <c r="E53" s="29" t="s">
        <v>239</v>
      </c>
      <c r="F53" s="30">
        <v>174200</v>
      </c>
      <c r="G53" s="30">
        <v>1188</v>
      </c>
      <c r="H53" s="30">
        <v>1190</v>
      </c>
      <c r="I53" s="30">
        <v>1181</v>
      </c>
      <c r="J53" s="30">
        <v>1188</v>
      </c>
      <c r="K53" s="32">
        <v>1183.2</v>
      </c>
      <c r="L53" s="32">
        <v>1190.4000000000001</v>
      </c>
    </row>
    <row r="54" spans="2:12">
      <c r="B54" s="22"/>
      <c r="C54" s="22"/>
      <c r="D54" s="22" t="s">
        <v>236</v>
      </c>
      <c r="E54" s="29" t="s">
        <v>240</v>
      </c>
      <c r="F54" s="30">
        <v>135900</v>
      </c>
      <c r="G54" s="30">
        <v>1188</v>
      </c>
      <c r="H54" s="30">
        <v>1194</v>
      </c>
      <c r="I54" s="30">
        <v>1186</v>
      </c>
      <c r="J54" s="30">
        <v>1193</v>
      </c>
      <c r="K54" s="32">
        <v>1184</v>
      </c>
      <c r="L54" s="32">
        <v>1190.4000000000001</v>
      </c>
    </row>
    <row r="55" spans="2:12">
      <c r="B55" s="22"/>
      <c r="C55" s="22"/>
      <c r="D55" s="22" t="s">
        <v>236</v>
      </c>
      <c r="E55" s="29" t="s">
        <v>241</v>
      </c>
      <c r="F55" s="30">
        <v>87600</v>
      </c>
      <c r="G55" s="30">
        <v>1193</v>
      </c>
      <c r="H55" s="30">
        <v>1194</v>
      </c>
      <c r="I55" s="30">
        <v>1189</v>
      </c>
      <c r="J55" s="30">
        <v>1191</v>
      </c>
      <c r="K55" s="32">
        <v>1185.2</v>
      </c>
      <c r="L55" s="32">
        <v>1190</v>
      </c>
    </row>
    <row r="56" spans="2:12">
      <c r="B56" s="22"/>
      <c r="C56" s="22"/>
      <c r="D56" s="22" t="s">
        <v>236</v>
      </c>
      <c r="E56" s="29" t="s">
        <v>242</v>
      </c>
      <c r="F56" s="30">
        <v>109700</v>
      </c>
      <c r="G56" s="30">
        <v>1191</v>
      </c>
      <c r="H56" s="30">
        <v>1192</v>
      </c>
      <c r="I56" s="30">
        <v>1188</v>
      </c>
      <c r="J56" s="30">
        <v>1190</v>
      </c>
      <c r="K56" s="32">
        <v>1186.3</v>
      </c>
      <c r="L56" s="32">
        <v>1189.8</v>
      </c>
    </row>
    <row r="57" spans="2:12">
      <c r="B57" s="22"/>
      <c r="C57" s="22"/>
      <c r="D57" s="22" t="s">
        <v>236</v>
      </c>
      <c r="E57" s="29" t="s">
        <v>243</v>
      </c>
      <c r="F57" s="30">
        <v>40900</v>
      </c>
      <c r="G57" s="30">
        <v>1191</v>
      </c>
      <c r="H57" s="30">
        <v>1192</v>
      </c>
      <c r="I57" s="30">
        <v>1189</v>
      </c>
      <c r="J57" s="30">
        <v>1192</v>
      </c>
      <c r="K57" s="32">
        <v>1187.5999999999999</v>
      </c>
      <c r="L57" s="32">
        <v>1189.4000000000001</v>
      </c>
    </row>
    <row r="58" spans="2:12">
      <c r="B58" s="22"/>
      <c r="C58" s="22"/>
      <c r="D58" s="22" t="s">
        <v>236</v>
      </c>
      <c r="E58" s="29" t="s">
        <v>244</v>
      </c>
      <c r="F58" s="30">
        <v>50200</v>
      </c>
      <c r="G58" s="30">
        <v>1192</v>
      </c>
      <c r="H58" s="30">
        <v>1192</v>
      </c>
      <c r="I58" s="30">
        <v>1190</v>
      </c>
      <c r="J58" s="30">
        <v>1190</v>
      </c>
      <c r="K58" s="32">
        <v>1188.3</v>
      </c>
      <c r="L58" s="32">
        <v>1189</v>
      </c>
    </row>
    <row r="59" spans="2:12">
      <c r="B59" s="22"/>
      <c r="C59" s="22"/>
      <c r="D59" s="22" t="s">
        <v>236</v>
      </c>
      <c r="E59" s="29" t="s">
        <v>245</v>
      </c>
      <c r="F59" s="30">
        <v>124800</v>
      </c>
      <c r="G59" s="30">
        <v>1190</v>
      </c>
      <c r="H59" s="30">
        <v>1191</v>
      </c>
      <c r="I59" s="30">
        <v>1186</v>
      </c>
      <c r="J59" s="30">
        <v>1191</v>
      </c>
      <c r="K59" s="32">
        <v>1189.4000000000001</v>
      </c>
      <c r="L59" s="32">
        <v>1188.5999999999999</v>
      </c>
    </row>
    <row r="60" spans="2:12">
      <c r="B60" s="22"/>
      <c r="C60" s="22"/>
      <c r="D60" s="22" t="s">
        <v>236</v>
      </c>
      <c r="E60" s="29" t="s">
        <v>246</v>
      </c>
      <c r="F60" s="30">
        <v>68500</v>
      </c>
      <c r="G60" s="30">
        <v>1191</v>
      </c>
      <c r="H60" s="30">
        <v>1192</v>
      </c>
      <c r="I60" s="30">
        <v>1190</v>
      </c>
      <c r="J60" s="30">
        <v>1191</v>
      </c>
      <c r="K60" s="32">
        <v>1190.3</v>
      </c>
      <c r="L60" s="32">
        <v>1188.5999999999999</v>
      </c>
    </row>
    <row r="61" spans="2:12">
      <c r="B61" s="22"/>
      <c r="C61" s="22"/>
      <c r="D61" s="22" t="s">
        <v>236</v>
      </c>
      <c r="E61" s="29" t="s">
        <v>247</v>
      </c>
      <c r="F61" s="30">
        <v>47800</v>
      </c>
      <c r="G61" s="30">
        <v>1191</v>
      </c>
      <c r="H61" s="30">
        <v>1191</v>
      </c>
      <c r="I61" s="30">
        <v>1188</v>
      </c>
      <c r="J61" s="30">
        <v>1189</v>
      </c>
      <c r="K61" s="32">
        <v>1190.3</v>
      </c>
      <c r="L61" s="32">
        <v>1188.3</v>
      </c>
    </row>
    <row r="62" spans="2:12">
      <c r="B62" s="22"/>
      <c r="C62" s="22"/>
      <c r="D62" s="22" t="s">
        <v>236</v>
      </c>
      <c r="E62" s="29" t="s">
        <v>248</v>
      </c>
      <c r="F62" s="30">
        <v>112300</v>
      </c>
      <c r="G62" s="30">
        <v>1188</v>
      </c>
      <c r="H62" s="30">
        <v>1188</v>
      </c>
      <c r="I62" s="30">
        <v>1183</v>
      </c>
      <c r="J62" s="30">
        <v>1183</v>
      </c>
      <c r="K62" s="32">
        <v>1189.8</v>
      </c>
      <c r="L62" s="32">
        <v>1187.8</v>
      </c>
    </row>
    <row r="63" spans="2:12">
      <c r="B63" s="22"/>
      <c r="C63" s="22"/>
      <c r="D63" s="22" t="s">
        <v>236</v>
      </c>
      <c r="E63" s="29" t="s">
        <v>249</v>
      </c>
      <c r="F63" s="30">
        <v>94900</v>
      </c>
      <c r="G63" s="30">
        <v>1184</v>
      </c>
      <c r="H63" s="30">
        <v>1186</v>
      </c>
      <c r="I63" s="30">
        <v>1183</v>
      </c>
      <c r="J63" s="30">
        <v>1184</v>
      </c>
      <c r="K63" s="32">
        <v>1189.4000000000001</v>
      </c>
      <c r="L63" s="32">
        <v>1187.2</v>
      </c>
    </row>
    <row r="64" spans="2:12">
      <c r="B64" s="22"/>
      <c r="C64" s="22"/>
      <c r="D64" s="22" t="s">
        <v>236</v>
      </c>
      <c r="E64" s="29" t="s">
        <v>250</v>
      </c>
      <c r="F64" s="30">
        <v>63500</v>
      </c>
      <c r="G64" s="30">
        <v>1185</v>
      </c>
      <c r="H64" s="30">
        <v>1185</v>
      </c>
      <c r="I64" s="30">
        <v>1183</v>
      </c>
      <c r="J64" s="30">
        <v>1184</v>
      </c>
      <c r="K64" s="32">
        <v>1188.5</v>
      </c>
      <c r="L64" s="32">
        <v>1186.8</v>
      </c>
    </row>
    <row r="65" spans="2:12">
      <c r="B65" s="22"/>
      <c r="C65" s="22"/>
      <c r="D65" s="22" t="s">
        <v>236</v>
      </c>
      <c r="E65" s="29" t="s">
        <v>251</v>
      </c>
      <c r="F65" s="30">
        <v>70500</v>
      </c>
      <c r="G65" s="30">
        <v>1184</v>
      </c>
      <c r="H65" s="30">
        <v>1185</v>
      </c>
      <c r="I65" s="30">
        <v>1182</v>
      </c>
      <c r="J65" s="30">
        <v>1183</v>
      </c>
      <c r="K65" s="32">
        <v>1187.7</v>
      </c>
      <c r="L65" s="32">
        <v>1186.2</v>
      </c>
    </row>
    <row r="66" spans="2:12">
      <c r="B66" s="22"/>
      <c r="C66" s="22"/>
      <c r="D66" s="22" t="s">
        <v>236</v>
      </c>
      <c r="E66" s="29" t="s">
        <v>252</v>
      </c>
      <c r="F66" s="30">
        <v>14100</v>
      </c>
      <c r="G66" s="30">
        <v>1182</v>
      </c>
      <c r="H66" s="30">
        <v>1182</v>
      </c>
      <c r="I66" s="30">
        <v>1182</v>
      </c>
      <c r="J66" s="30">
        <v>1182</v>
      </c>
      <c r="K66" s="32">
        <v>1186.9000000000001</v>
      </c>
      <c r="L66" s="32">
        <v>1185.9000000000001</v>
      </c>
    </row>
    <row r="67" spans="2:12">
      <c r="B67" s="22"/>
      <c r="C67" s="22"/>
      <c r="D67" s="22" t="s">
        <v>236</v>
      </c>
      <c r="E67" s="29" t="s">
        <v>253</v>
      </c>
      <c r="F67" s="30">
        <v>214600</v>
      </c>
      <c r="G67" s="30">
        <v>1180</v>
      </c>
      <c r="H67" s="30">
        <v>1181</v>
      </c>
      <c r="I67" s="30">
        <v>1178</v>
      </c>
      <c r="J67" s="30">
        <v>1180</v>
      </c>
      <c r="K67" s="32">
        <v>1185.7</v>
      </c>
      <c r="L67" s="32">
        <v>1185.5999999999999</v>
      </c>
    </row>
    <row r="68" spans="2:12">
      <c r="B68" s="22"/>
      <c r="C68" s="22"/>
      <c r="D68" s="22" t="s">
        <v>236</v>
      </c>
      <c r="E68" s="29" t="s">
        <v>225</v>
      </c>
      <c r="F68" s="30">
        <v>35300</v>
      </c>
      <c r="G68" s="30">
        <v>1180</v>
      </c>
      <c r="H68" s="30">
        <v>1182</v>
      </c>
      <c r="I68" s="30">
        <v>1180</v>
      </c>
      <c r="J68" s="30">
        <v>1182</v>
      </c>
      <c r="K68" s="32">
        <v>1184.9000000000001</v>
      </c>
      <c r="L68" s="32">
        <v>1185.5</v>
      </c>
    </row>
    <row r="69" spans="2:12">
      <c r="B69" s="22"/>
      <c r="C69" s="22"/>
      <c r="D69" s="22" t="s">
        <v>236</v>
      </c>
      <c r="E69" s="29" t="s">
        <v>254</v>
      </c>
      <c r="F69" s="30">
        <v>34900</v>
      </c>
      <c r="G69" s="30">
        <v>1182</v>
      </c>
      <c r="H69" s="30">
        <v>1184</v>
      </c>
      <c r="I69" s="30">
        <v>1181</v>
      </c>
      <c r="J69" s="30">
        <v>1184</v>
      </c>
      <c r="K69" s="32">
        <v>1184.2</v>
      </c>
      <c r="L69" s="32">
        <v>1185.4000000000001</v>
      </c>
    </row>
    <row r="70" spans="2:12">
      <c r="B70" s="22"/>
      <c r="C70" s="22"/>
      <c r="D70" s="22" t="s">
        <v>236</v>
      </c>
      <c r="E70" s="29" t="s">
        <v>255</v>
      </c>
      <c r="F70" s="30">
        <v>34900</v>
      </c>
      <c r="G70" s="30">
        <v>1184</v>
      </c>
      <c r="H70" s="30">
        <v>1184</v>
      </c>
      <c r="I70" s="30">
        <v>1182</v>
      </c>
      <c r="J70" s="30">
        <v>1183</v>
      </c>
      <c r="K70" s="32">
        <v>1183.4000000000001</v>
      </c>
      <c r="L70" s="32">
        <v>1185.5999999999999</v>
      </c>
    </row>
    <row r="71" spans="2:12">
      <c r="B71" s="22"/>
      <c r="C71" s="22"/>
      <c r="D71" s="22" t="s">
        <v>236</v>
      </c>
      <c r="E71" s="29" t="s">
        <v>256</v>
      </c>
      <c r="F71" s="30">
        <v>111300</v>
      </c>
      <c r="G71" s="30">
        <v>1183</v>
      </c>
      <c r="H71" s="30">
        <v>1183</v>
      </c>
      <c r="I71" s="30">
        <v>1178</v>
      </c>
      <c r="J71" s="30">
        <v>1181</v>
      </c>
      <c r="K71" s="32">
        <v>1182.5999999999999</v>
      </c>
      <c r="L71" s="32">
        <v>1185.7</v>
      </c>
    </row>
    <row r="72" spans="2:12">
      <c r="B72" s="22"/>
      <c r="C72" s="22"/>
      <c r="D72" s="22" t="s">
        <v>236</v>
      </c>
      <c r="E72" s="29" t="s">
        <v>257</v>
      </c>
      <c r="F72" s="30">
        <v>46300</v>
      </c>
      <c r="G72" s="30">
        <v>1182</v>
      </c>
      <c r="H72" s="30">
        <v>1182</v>
      </c>
      <c r="I72" s="30">
        <v>1180</v>
      </c>
      <c r="J72" s="30">
        <v>1181</v>
      </c>
      <c r="K72" s="32">
        <v>1182.4000000000001</v>
      </c>
      <c r="L72" s="32">
        <v>1185.8</v>
      </c>
    </row>
    <row r="73" spans="2:12">
      <c r="B73" s="22"/>
      <c r="C73" s="22"/>
      <c r="D73" s="22" t="s">
        <v>236</v>
      </c>
      <c r="E73" s="29" t="s">
        <v>258</v>
      </c>
      <c r="F73" s="30">
        <v>20100</v>
      </c>
      <c r="G73" s="30">
        <v>1181</v>
      </c>
      <c r="H73" s="30">
        <v>1183</v>
      </c>
      <c r="I73" s="30">
        <v>1181</v>
      </c>
      <c r="J73" s="30">
        <v>1182</v>
      </c>
      <c r="K73" s="32">
        <v>1182.2</v>
      </c>
      <c r="L73" s="32">
        <v>1185.7</v>
      </c>
    </row>
    <row r="74" spans="2:12">
      <c r="B74" s="22"/>
      <c r="C74" s="22"/>
      <c r="D74" s="22" t="s">
        <v>236</v>
      </c>
      <c r="E74" s="29" t="s">
        <v>259</v>
      </c>
      <c r="F74" s="30">
        <v>56400</v>
      </c>
      <c r="G74" s="30">
        <v>1181</v>
      </c>
      <c r="H74" s="30">
        <v>1182</v>
      </c>
      <c r="I74" s="30">
        <v>1179</v>
      </c>
      <c r="J74" s="30">
        <v>1179</v>
      </c>
      <c r="K74" s="32">
        <v>1181.7</v>
      </c>
      <c r="L74" s="32">
        <v>1185.7</v>
      </c>
    </row>
    <row r="75" spans="2:12">
      <c r="B75" s="22"/>
      <c r="C75" s="22"/>
      <c r="D75" s="22" t="s">
        <v>236</v>
      </c>
      <c r="E75" s="29" t="s">
        <v>228</v>
      </c>
      <c r="F75" s="30">
        <v>39200</v>
      </c>
      <c r="G75" s="30">
        <v>1178</v>
      </c>
      <c r="H75" s="30">
        <v>1180</v>
      </c>
      <c r="I75" s="30">
        <v>1178</v>
      </c>
      <c r="J75" s="30">
        <v>1179</v>
      </c>
      <c r="K75" s="32">
        <v>1181.3</v>
      </c>
      <c r="L75" s="32">
        <v>1185.5999999999999</v>
      </c>
    </row>
    <row r="76" spans="2:12">
      <c r="B76" s="22"/>
      <c r="C76" s="22"/>
      <c r="D76" s="22" t="s">
        <v>236</v>
      </c>
      <c r="E76" s="29" t="s">
        <v>229</v>
      </c>
      <c r="F76" s="30">
        <v>106400</v>
      </c>
      <c r="G76" s="30">
        <v>1180</v>
      </c>
      <c r="H76" s="30">
        <v>1180</v>
      </c>
      <c r="I76" s="30">
        <v>1176</v>
      </c>
      <c r="J76" s="30">
        <v>1176</v>
      </c>
      <c r="K76" s="32">
        <v>1180.7</v>
      </c>
      <c r="L76" s="32">
        <v>1185</v>
      </c>
    </row>
    <row r="77" spans="2:12">
      <c r="B77" s="22"/>
      <c r="C77" s="22"/>
      <c r="D77" s="22" t="s">
        <v>236</v>
      </c>
      <c r="E77" s="29" t="s">
        <v>230</v>
      </c>
      <c r="F77" s="30">
        <v>292300</v>
      </c>
      <c r="G77" s="30">
        <v>1177</v>
      </c>
      <c r="H77" s="30">
        <v>1177</v>
      </c>
      <c r="I77" s="30">
        <v>1171</v>
      </c>
      <c r="J77" s="30">
        <v>1172</v>
      </c>
      <c r="K77" s="32">
        <v>1179.9000000000001</v>
      </c>
      <c r="L77" s="32">
        <v>1184.4000000000001</v>
      </c>
    </row>
    <row r="78" spans="2:12">
      <c r="B78" s="22"/>
      <c r="C78" s="22"/>
      <c r="D78" s="22" t="s">
        <v>236</v>
      </c>
      <c r="E78" s="29" t="s">
        <v>231</v>
      </c>
      <c r="F78" s="30">
        <v>525400</v>
      </c>
      <c r="G78" s="30">
        <v>1172</v>
      </c>
      <c r="H78" s="30">
        <v>1175</v>
      </c>
      <c r="I78" s="30">
        <v>1167</v>
      </c>
      <c r="J78" s="30">
        <v>1170</v>
      </c>
      <c r="K78" s="32">
        <v>1178.7</v>
      </c>
      <c r="L78" s="32">
        <v>1183.7</v>
      </c>
    </row>
    <row r="79" spans="2:12">
      <c r="B79" s="22"/>
      <c r="C79" s="22"/>
      <c r="D79" s="22" t="s">
        <v>236</v>
      </c>
      <c r="E79" s="29" t="s">
        <v>232</v>
      </c>
      <c r="F79" s="30">
        <v>286400</v>
      </c>
      <c r="G79" s="30">
        <v>1169</v>
      </c>
      <c r="H79" s="30">
        <v>1172</v>
      </c>
      <c r="I79" s="30">
        <v>1169</v>
      </c>
      <c r="J79" s="30">
        <v>1172</v>
      </c>
      <c r="K79" s="32">
        <v>1177.5</v>
      </c>
      <c r="L79" s="32">
        <v>1182.8</v>
      </c>
    </row>
    <row r="80" spans="2:12">
      <c r="B80" s="22"/>
      <c r="C80" s="22"/>
      <c r="D80" s="22" t="s">
        <v>236</v>
      </c>
      <c r="E80" s="29" t="s">
        <v>233</v>
      </c>
      <c r="F80" s="30">
        <v>328200</v>
      </c>
      <c r="G80" s="30">
        <v>1171</v>
      </c>
      <c r="H80" s="30">
        <v>1171</v>
      </c>
      <c r="I80" s="30">
        <v>1166</v>
      </c>
      <c r="J80" s="30">
        <v>1167</v>
      </c>
      <c r="K80" s="32">
        <v>1175.9000000000001</v>
      </c>
      <c r="L80" s="32">
        <v>1181.9000000000001</v>
      </c>
    </row>
    <row r="81" spans="2:12">
      <c r="B81" s="22"/>
      <c r="C81" s="22"/>
      <c r="D81" s="22" t="s">
        <v>236</v>
      </c>
      <c r="E81" s="29" t="s">
        <v>234</v>
      </c>
      <c r="F81" s="30">
        <v>376400</v>
      </c>
      <c r="G81" s="30">
        <v>1168</v>
      </c>
      <c r="H81" s="30">
        <v>1168</v>
      </c>
      <c r="I81" s="30">
        <v>1161</v>
      </c>
      <c r="J81" s="30">
        <v>1161</v>
      </c>
      <c r="K81" s="32">
        <v>1173.9000000000001</v>
      </c>
      <c r="L81" s="32">
        <v>1180.7</v>
      </c>
    </row>
    <row r="82" spans="2:12">
      <c r="B82" s="22"/>
      <c r="C82" s="22"/>
      <c r="D82" s="22" t="s">
        <v>236</v>
      </c>
      <c r="E82" s="29" t="s">
        <v>235</v>
      </c>
      <c r="F82" s="30">
        <v>1960100</v>
      </c>
      <c r="G82" s="30">
        <v>1161</v>
      </c>
      <c r="H82" s="30">
        <v>1161</v>
      </c>
      <c r="I82" s="30">
        <v>1161</v>
      </c>
      <c r="J82" s="30">
        <v>1161</v>
      </c>
      <c r="K82" s="32">
        <v>1171.9000000000001</v>
      </c>
      <c r="L82" s="32">
        <v>1179.5</v>
      </c>
    </row>
    <row r="83" spans="2:12">
      <c r="B83" s="22"/>
      <c r="C83" s="22"/>
      <c r="D83" s="22" t="s">
        <v>260</v>
      </c>
      <c r="E83" s="29" t="s">
        <v>237</v>
      </c>
      <c r="F83" s="30">
        <v>565900</v>
      </c>
      <c r="G83" s="30">
        <v>1160</v>
      </c>
      <c r="H83" s="30">
        <v>1175</v>
      </c>
      <c r="I83" s="30">
        <v>1158</v>
      </c>
      <c r="J83" s="30">
        <v>1166</v>
      </c>
      <c r="K83" s="32">
        <v>1170.3</v>
      </c>
      <c r="L83" s="32">
        <v>1178.5</v>
      </c>
    </row>
    <row r="84" spans="2:12">
      <c r="B84" s="22"/>
      <c r="C84" s="22"/>
      <c r="D84" s="22" t="s">
        <v>260</v>
      </c>
      <c r="E84" s="29" t="s">
        <v>238</v>
      </c>
      <c r="F84" s="30">
        <v>349900</v>
      </c>
      <c r="G84" s="30">
        <v>1166</v>
      </c>
      <c r="H84" s="30">
        <v>1177</v>
      </c>
      <c r="I84" s="30">
        <v>1157</v>
      </c>
      <c r="J84" s="30">
        <v>1159</v>
      </c>
      <c r="K84" s="32">
        <v>1168.3</v>
      </c>
      <c r="L84" s="32">
        <v>1177.2</v>
      </c>
    </row>
    <row r="85" spans="2:12">
      <c r="B85" s="22"/>
      <c r="C85" s="22"/>
      <c r="D85" s="22" t="s">
        <v>260</v>
      </c>
      <c r="E85" s="29" t="s">
        <v>239</v>
      </c>
      <c r="F85" s="30">
        <v>308900</v>
      </c>
      <c r="G85" s="30">
        <v>1158</v>
      </c>
      <c r="H85" s="30">
        <v>1172</v>
      </c>
      <c r="I85" s="30">
        <v>1155</v>
      </c>
      <c r="J85" s="30">
        <v>1170</v>
      </c>
      <c r="K85" s="32">
        <v>1167.4000000000001</v>
      </c>
      <c r="L85" s="32">
        <v>1176.4000000000001</v>
      </c>
    </row>
    <row r="86" spans="2:12">
      <c r="B86" s="22"/>
      <c r="C86" s="22"/>
      <c r="D86" s="22" t="s">
        <v>260</v>
      </c>
      <c r="E86" s="29" t="s">
        <v>240</v>
      </c>
      <c r="F86" s="30">
        <v>202900</v>
      </c>
      <c r="G86" s="30">
        <v>1170</v>
      </c>
      <c r="H86" s="30">
        <v>1177</v>
      </c>
      <c r="I86" s="30">
        <v>1170</v>
      </c>
      <c r="J86" s="30">
        <v>1174</v>
      </c>
      <c r="K86" s="32">
        <v>1167.2</v>
      </c>
      <c r="L86" s="32">
        <v>1175.8</v>
      </c>
    </row>
    <row r="87" spans="2:12">
      <c r="B87" s="22"/>
      <c r="C87" s="22"/>
      <c r="D87" s="22" t="s">
        <v>260</v>
      </c>
      <c r="E87" s="29" t="s">
        <v>241</v>
      </c>
      <c r="F87" s="30">
        <v>207400</v>
      </c>
      <c r="G87" s="30">
        <v>1173</v>
      </c>
      <c r="H87" s="30">
        <v>1182</v>
      </c>
      <c r="I87" s="30">
        <v>1173</v>
      </c>
      <c r="J87" s="30">
        <v>1180</v>
      </c>
      <c r="K87" s="32">
        <v>1168</v>
      </c>
      <c r="L87" s="32">
        <v>1175.7</v>
      </c>
    </row>
    <row r="88" spans="2:12">
      <c r="B88" s="22"/>
      <c r="C88" s="22"/>
      <c r="D88" s="22" t="s">
        <v>260</v>
      </c>
      <c r="E88" s="29" t="s">
        <v>242</v>
      </c>
      <c r="F88" s="30">
        <v>159700</v>
      </c>
      <c r="G88" s="30">
        <v>1180</v>
      </c>
      <c r="H88" s="30">
        <v>1181</v>
      </c>
      <c r="I88" s="30">
        <v>1175</v>
      </c>
      <c r="J88" s="30">
        <v>1177</v>
      </c>
      <c r="K88" s="32">
        <v>1168.7</v>
      </c>
      <c r="L88" s="32">
        <v>1175.4000000000001</v>
      </c>
    </row>
    <row r="89" spans="2:12">
      <c r="B89" s="22"/>
      <c r="C89" s="22"/>
      <c r="D89" s="22" t="s">
        <v>260</v>
      </c>
      <c r="E89" s="29" t="s">
        <v>243</v>
      </c>
      <c r="F89" s="30">
        <v>154400</v>
      </c>
      <c r="G89" s="30">
        <v>1177</v>
      </c>
      <c r="H89" s="30">
        <v>1181</v>
      </c>
      <c r="I89" s="30">
        <v>1174</v>
      </c>
      <c r="J89" s="30">
        <v>1179</v>
      </c>
      <c r="K89" s="32">
        <v>1169.4000000000001</v>
      </c>
      <c r="L89" s="32">
        <v>1175.2</v>
      </c>
    </row>
    <row r="90" spans="2:12">
      <c r="B90" s="22"/>
      <c r="C90" s="22"/>
      <c r="D90" s="22" t="s">
        <v>260</v>
      </c>
      <c r="E90" s="29" t="s">
        <v>244</v>
      </c>
      <c r="F90" s="30">
        <v>235500</v>
      </c>
      <c r="G90" s="30">
        <v>1179</v>
      </c>
      <c r="H90" s="30">
        <v>1188</v>
      </c>
      <c r="I90" s="30">
        <v>1179</v>
      </c>
      <c r="J90" s="30">
        <v>1184</v>
      </c>
      <c r="K90" s="32">
        <v>1171.0999999999999</v>
      </c>
      <c r="L90" s="32">
        <v>1175.2</v>
      </c>
    </row>
    <row r="91" spans="2:12">
      <c r="B91" s="22"/>
      <c r="C91" s="22"/>
      <c r="D91" s="22" t="s">
        <v>260</v>
      </c>
      <c r="E91" s="29" t="s">
        <v>245</v>
      </c>
      <c r="F91" s="30">
        <v>147300</v>
      </c>
      <c r="G91" s="30">
        <v>1184</v>
      </c>
      <c r="H91" s="30">
        <v>1187</v>
      </c>
      <c r="I91" s="30">
        <v>1183</v>
      </c>
      <c r="J91" s="30">
        <v>1185</v>
      </c>
      <c r="K91" s="32">
        <v>1173.5</v>
      </c>
      <c r="L91" s="32">
        <v>1175.4000000000001</v>
      </c>
    </row>
    <row r="92" spans="2:12">
      <c r="B92" s="22"/>
      <c r="C92" s="22"/>
      <c r="D92" s="22" t="s">
        <v>260</v>
      </c>
      <c r="E92" s="29" t="s">
        <v>246</v>
      </c>
      <c r="F92" s="30">
        <v>166000</v>
      </c>
      <c r="G92" s="30">
        <v>1186</v>
      </c>
      <c r="H92" s="30">
        <v>1186</v>
      </c>
      <c r="I92" s="30">
        <v>1184</v>
      </c>
      <c r="J92" s="30">
        <v>1186</v>
      </c>
      <c r="K92" s="32">
        <v>1176</v>
      </c>
      <c r="L92" s="32">
        <v>1175.5999999999999</v>
      </c>
    </row>
    <row r="93" spans="2:12">
      <c r="B93" s="22"/>
      <c r="C93" s="22"/>
      <c r="D93" s="22" t="s">
        <v>260</v>
      </c>
      <c r="E93" s="29" t="s">
        <v>247</v>
      </c>
      <c r="F93" s="30">
        <v>167100</v>
      </c>
      <c r="G93" s="30">
        <v>1186</v>
      </c>
      <c r="H93" s="30">
        <v>1192</v>
      </c>
      <c r="I93" s="30">
        <v>1186</v>
      </c>
      <c r="J93" s="30">
        <v>1190</v>
      </c>
      <c r="K93" s="32">
        <v>1178.4000000000001</v>
      </c>
      <c r="L93" s="32">
        <v>1175.9000000000001</v>
      </c>
    </row>
    <row r="94" spans="2:12">
      <c r="B94" s="22"/>
      <c r="C94" s="22"/>
      <c r="D94" s="22" t="s">
        <v>260</v>
      </c>
      <c r="E94" s="29" t="s">
        <v>248</v>
      </c>
      <c r="F94" s="30">
        <v>106900</v>
      </c>
      <c r="G94" s="30">
        <v>1190</v>
      </c>
      <c r="H94" s="30">
        <v>1194</v>
      </c>
      <c r="I94" s="30">
        <v>1190</v>
      </c>
      <c r="J94" s="30">
        <v>1192</v>
      </c>
      <c r="K94" s="32">
        <v>1181.7</v>
      </c>
      <c r="L94" s="32">
        <v>1176.2</v>
      </c>
    </row>
    <row r="95" spans="2:12">
      <c r="B95" s="22"/>
      <c r="C95" s="22"/>
      <c r="D95" s="22" t="s">
        <v>260</v>
      </c>
      <c r="E95" s="29" t="s">
        <v>249</v>
      </c>
      <c r="F95" s="30">
        <v>145100</v>
      </c>
      <c r="G95" s="30">
        <v>1193</v>
      </c>
      <c r="H95" s="30">
        <v>1198</v>
      </c>
      <c r="I95" s="30">
        <v>1191</v>
      </c>
      <c r="J95" s="30">
        <v>1196</v>
      </c>
      <c r="K95" s="32">
        <v>1184.3</v>
      </c>
      <c r="L95" s="32">
        <v>1176.8</v>
      </c>
    </row>
    <row r="96" spans="2:12">
      <c r="B96" s="22"/>
      <c r="C96" s="22"/>
      <c r="D96" s="22" t="s">
        <v>260</v>
      </c>
      <c r="E96" s="29" t="s">
        <v>250</v>
      </c>
      <c r="F96" s="30">
        <v>103600</v>
      </c>
      <c r="G96" s="30">
        <v>1196</v>
      </c>
      <c r="H96" s="30">
        <v>1199</v>
      </c>
      <c r="I96" s="30">
        <v>1194</v>
      </c>
      <c r="J96" s="30">
        <v>1198</v>
      </c>
      <c r="K96" s="32">
        <v>1186.7</v>
      </c>
      <c r="L96" s="32">
        <v>1177.4000000000001</v>
      </c>
    </row>
    <row r="97" spans="2:12">
      <c r="B97" s="22"/>
      <c r="C97" s="22"/>
      <c r="D97" s="22" t="s">
        <v>260</v>
      </c>
      <c r="E97" s="29" t="s">
        <v>251</v>
      </c>
      <c r="F97" s="30">
        <v>94200</v>
      </c>
      <c r="G97" s="30">
        <v>1198</v>
      </c>
      <c r="H97" s="30">
        <v>1199</v>
      </c>
      <c r="I97" s="30">
        <v>1196</v>
      </c>
      <c r="J97" s="30">
        <v>1197</v>
      </c>
      <c r="K97" s="32">
        <v>1188.4000000000001</v>
      </c>
      <c r="L97" s="32">
        <v>1178.0999999999999</v>
      </c>
    </row>
    <row r="98" spans="2:12">
      <c r="B98" s="22"/>
      <c r="C98" s="22"/>
      <c r="D98" s="22" t="s">
        <v>260</v>
      </c>
      <c r="E98" s="29" t="s">
        <v>252</v>
      </c>
      <c r="F98" s="30">
        <v>2300</v>
      </c>
      <c r="G98" s="30">
        <v>1196</v>
      </c>
      <c r="H98" s="30">
        <v>1196</v>
      </c>
      <c r="I98" s="30">
        <v>1196</v>
      </c>
      <c r="J98" s="30">
        <v>1196</v>
      </c>
      <c r="K98" s="32">
        <v>1190.3</v>
      </c>
      <c r="L98" s="32">
        <v>1178.5999999999999</v>
      </c>
    </row>
    <row r="99" spans="2:12">
      <c r="B99" s="22"/>
      <c r="C99" s="22"/>
      <c r="D99" s="22" t="s">
        <v>260</v>
      </c>
      <c r="E99" s="29" t="s">
        <v>253</v>
      </c>
      <c r="F99" s="30">
        <v>183600</v>
      </c>
      <c r="G99" s="30">
        <v>1191</v>
      </c>
      <c r="H99" s="30">
        <v>1193</v>
      </c>
      <c r="I99" s="30">
        <v>1184</v>
      </c>
      <c r="J99" s="30">
        <v>1185</v>
      </c>
      <c r="K99" s="32">
        <v>1190.9000000000001</v>
      </c>
      <c r="L99" s="32">
        <v>1178.9000000000001</v>
      </c>
    </row>
    <row r="100" spans="2:12">
      <c r="B100" s="22"/>
      <c r="C100" s="22"/>
      <c r="D100" s="22" t="s">
        <v>260</v>
      </c>
      <c r="E100" s="29" t="s">
        <v>225</v>
      </c>
      <c r="F100" s="30">
        <v>152000</v>
      </c>
      <c r="G100" s="30">
        <v>1185</v>
      </c>
      <c r="H100" s="30">
        <v>1186</v>
      </c>
      <c r="I100" s="30">
        <v>1182</v>
      </c>
      <c r="J100" s="30">
        <v>1184</v>
      </c>
      <c r="K100" s="32">
        <v>1190.9000000000001</v>
      </c>
      <c r="L100" s="32">
        <v>1179.0999999999999</v>
      </c>
    </row>
    <row r="101" spans="2:12">
      <c r="B101" s="31"/>
      <c r="C101" s="31"/>
      <c r="D101" s="31" t="s">
        <v>260</v>
      </c>
      <c r="E101" s="29" t="s">
        <v>254</v>
      </c>
      <c r="F101" s="30">
        <v>53800</v>
      </c>
      <c r="G101" s="30">
        <v>1185</v>
      </c>
      <c r="H101" s="30">
        <v>1188</v>
      </c>
      <c r="I101" s="30">
        <v>1184</v>
      </c>
      <c r="J101" s="30">
        <v>1188</v>
      </c>
      <c r="K101" s="32">
        <v>1191.2</v>
      </c>
      <c r="L101" s="32">
        <v>1179.5999999999999</v>
      </c>
    </row>
    <row r="102" spans="2:12">
      <c r="B102" s="22"/>
      <c r="C102" s="22"/>
      <c r="D102" s="22" t="s">
        <v>260</v>
      </c>
      <c r="E102" s="29" t="s">
        <v>255</v>
      </c>
      <c r="F102" s="30">
        <v>122000</v>
      </c>
      <c r="G102" s="30">
        <v>1189</v>
      </c>
      <c r="H102" s="30">
        <v>1190</v>
      </c>
      <c r="I102" s="30">
        <v>1187</v>
      </c>
      <c r="J102" s="30">
        <v>1189</v>
      </c>
      <c r="K102" s="32">
        <v>1191.5</v>
      </c>
      <c r="L102" s="32">
        <v>1180.2</v>
      </c>
    </row>
    <row r="103" spans="2:12">
      <c r="B103" s="22"/>
      <c r="C103" s="22"/>
      <c r="D103" s="22" t="s">
        <v>260</v>
      </c>
      <c r="E103" s="29" t="s">
        <v>256</v>
      </c>
      <c r="F103" s="30">
        <v>81900</v>
      </c>
      <c r="G103" s="30">
        <v>1189</v>
      </c>
      <c r="H103" s="30">
        <v>1192</v>
      </c>
      <c r="I103" s="30">
        <v>1188</v>
      </c>
      <c r="J103" s="30">
        <v>1191</v>
      </c>
      <c r="K103" s="32">
        <v>1191.5999999999999</v>
      </c>
      <c r="L103" s="32">
        <v>1181.0999999999999</v>
      </c>
    </row>
    <row r="104" spans="2:12">
      <c r="B104" s="22"/>
      <c r="C104" s="22"/>
      <c r="D104" s="22" t="s">
        <v>260</v>
      </c>
      <c r="E104" s="29" t="s">
        <v>257</v>
      </c>
      <c r="F104" s="30">
        <v>117400</v>
      </c>
      <c r="G104" s="30">
        <v>1191</v>
      </c>
      <c r="H104" s="30">
        <v>1192</v>
      </c>
      <c r="I104" s="30">
        <v>1187</v>
      </c>
      <c r="J104" s="30">
        <v>1188</v>
      </c>
      <c r="K104" s="32">
        <v>1191.2</v>
      </c>
      <c r="L104" s="32">
        <v>1181.7</v>
      </c>
    </row>
    <row r="105" spans="2:12">
      <c r="B105" s="22"/>
      <c r="C105" s="22"/>
      <c r="D105" s="22" t="s">
        <v>260</v>
      </c>
      <c r="E105" s="29" t="s">
        <v>258</v>
      </c>
      <c r="F105" s="30">
        <v>63400</v>
      </c>
      <c r="G105" s="30">
        <v>1187</v>
      </c>
      <c r="H105" s="30">
        <v>1193</v>
      </c>
      <c r="I105" s="30">
        <v>1187</v>
      </c>
      <c r="J105" s="30">
        <v>1192</v>
      </c>
      <c r="K105" s="32">
        <v>1190.8</v>
      </c>
      <c r="L105" s="32">
        <v>1182.7</v>
      </c>
    </row>
    <row r="106" spans="2:12">
      <c r="B106" s="22"/>
      <c r="C106" s="22"/>
      <c r="D106" s="22" t="s">
        <v>260</v>
      </c>
      <c r="E106" s="29" t="s">
        <v>259</v>
      </c>
      <c r="F106" s="30">
        <v>67200</v>
      </c>
      <c r="G106" s="30">
        <v>1193</v>
      </c>
      <c r="H106" s="30">
        <v>1193</v>
      </c>
      <c r="I106" s="30">
        <v>1189</v>
      </c>
      <c r="J106" s="30">
        <v>1191</v>
      </c>
      <c r="K106" s="32">
        <v>1190.0999999999999</v>
      </c>
      <c r="L106" s="32">
        <v>1183.9000000000001</v>
      </c>
    </row>
    <row r="107" spans="2:12">
      <c r="B107" s="22"/>
      <c r="C107" s="22"/>
      <c r="D107" s="22" t="s">
        <v>260</v>
      </c>
      <c r="E107" s="29" t="s">
        <v>228</v>
      </c>
      <c r="F107" s="30">
        <v>35000</v>
      </c>
      <c r="G107" s="30">
        <v>1190</v>
      </c>
      <c r="H107" s="30">
        <v>1191</v>
      </c>
      <c r="I107" s="30">
        <v>1189</v>
      </c>
      <c r="J107" s="30">
        <v>1191</v>
      </c>
      <c r="K107" s="32">
        <v>1189.5</v>
      </c>
      <c r="L107" s="32">
        <v>1185.0999999999999</v>
      </c>
    </row>
    <row r="108" spans="2:12">
      <c r="B108" s="22"/>
      <c r="C108" s="22"/>
      <c r="D108" s="22" t="s">
        <v>260</v>
      </c>
      <c r="E108" s="29" t="s">
        <v>229</v>
      </c>
      <c r="F108" s="30">
        <v>113600</v>
      </c>
      <c r="G108" s="30">
        <v>1191</v>
      </c>
      <c r="H108" s="30">
        <v>1191</v>
      </c>
      <c r="I108" s="30">
        <v>1186</v>
      </c>
      <c r="J108" s="30">
        <v>1186</v>
      </c>
      <c r="K108" s="32">
        <v>1188.5</v>
      </c>
      <c r="L108" s="32">
        <v>1185.9000000000001</v>
      </c>
    </row>
    <row r="109" spans="2:12">
      <c r="B109" s="22"/>
      <c r="C109" s="22"/>
      <c r="D109" s="22" t="s">
        <v>260</v>
      </c>
      <c r="E109" s="29" t="s">
        <v>230</v>
      </c>
      <c r="F109" s="30">
        <v>112300</v>
      </c>
      <c r="G109" s="30">
        <v>1187</v>
      </c>
      <c r="H109" s="30">
        <v>1188</v>
      </c>
      <c r="I109" s="30">
        <v>1186</v>
      </c>
      <c r="J109" s="30">
        <v>1187</v>
      </c>
      <c r="K109" s="32">
        <v>1188.7</v>
      </c>
      <c r="L109" s="32">
        <v>1187</v>
      </c>
    </row>
    <row r="110" spans="2:12">
      <c r="B110" s="22"/>
      <c r="C110" s="22"/>
      <c r="D110" s="22" t="s">
        <v>260</v>
      </c>
      <c r="E110" s="29" t="s">
        <v>231</v>
      </c>
      <c r="F110" s="30">
        <v>117000</v>
      </c>
      <c r="G110" s="30">
        <v>1187</v>
      </c>
      <c r="H110" s="30">
        <v>1189</v>
      </c>
      <c r="I110" s="30">
        <v>1186</v>
      </c>
      <c r="J110" s="30">
        <v>1189</v>
      </c>
      <c r="K110" s="32">
        <v>1189.2</v>
      </c>
      <c r="L110" s="32">
        <v>1187.8</v>
      </c>
    </row>
    <row r="111" spans="2:12">
      <c r="B111" s="22"/>
      <c r="C111" s="22"/>
      <c r="D111" s="22" t="s">
        <v>260</v>
      </c>
      <c r="E111" s="29" t="s">
        <v>232</v>
      </c>
      <c r="F111" s="30">
        <v>355900</v>
      </c>
      <c r="G111" s="30">
        <v>1189</v>
      </c>
      <c r="H111" s="30">
        <v>1189</v>
      </c>
      <c r="I111" s="30">
        <v>1184</v>
      </c>
      <c r="J111" s="30">
        <v>1188</v>
      </c>
      <c r="K111" s="32">
        <v>1189.2</v>
      </c>
      <c r="L111" s="32">
        <v>1188.4000000000001</v>
      </c>
    </row>
    <row r="112" spans="2:12">
      <c r="B112" s="22"/>
      <c r="C112" s="22"/>
      <c r="D112" s="22" t="s">
        <v>260</v>
      </c>
      <c r="E112" s="29" t="s">
        <v>233</v>
      </c>
      <c r="F112" s="30">
        <v>201900</v>
      </c>
      <c r="G112" s="30">
        <v>1188</v>
      </c>
      <c r="H112" s="30">
        <v>1188</v>
      </c>
      <c r="I112" s="30">
        <v>1184</v>
      </c>
      <c r="J112" s="30">
        <v>1185</v>
      </c>
      <c r="K112" s="32">
        <v>1188.8</v>
      </c>
      <c r="L112" s="32">
        <v>1188.5999999999999</v>
      </c>
    </row>
    <row r="113" spans="2:12">
      <c r="B113" s="22"/>
      <c r="C113" s="22"/>
      <c r="D113" s="22" t="s">
        <v>260</v>
      </c>
      <c r="E113" s="29" t="s">
        <v>234</v>
      </c>
      <c r="F113" s="30">
        <v>347400</v>
      </c>
      <c r="G113" s="30">
        <v>1185</v>
      </c>
      <c r="H113" s="30">
        <v>1186</v>
      </c>
      <c r="I113" s="30">
        <v>1180</v>
      </c>
      <c r="J113" s="30">
        <v>1182</v>
      </c>
      <c r="K113" s="32">
        <v>1187.9000000000001</v>
      </c>
      <c r="L113" s="32">
        <v>1188.8</v>
      </c>
    </row>
    <row r="114" spans="2:12">
      <c r="B114" s="22"/>
      <c r="C114" s="22"/>
      <c r="D114" s="22" t="s">
        <v>260</v>
      </c>
      <c r="E114" s="29" t="s">
        <v>235</v>
      </c>
      <c r="F114" s="30">
        <v>793700</v>
      </c>
      <c r="G114" s="30">
        <v>1180</v>
      </c>
      <c r="H114" s="30">
        <v>1180</v>
      </c>
      <c r="I114" s="30">
        <v>1180</v>
      </c>
      <c r="J114" s="30">
        <v>1180</v>
      </c>
      <c r="K114" s="32">
        <v>1187.0999999999999</v>
      </c>
      <c r="L114" s="32">
        <v>1188.8</v>
      </c>
    </row>
    <row r="115" spans="2:12">
      <c r="B115" s="22"/>
      <c r="C115" s="22"/>
      <c r="D115" s="22" t="s">
        <v>226</v>
      </c>
      <c r="E115" s="29" t="s">
        <v>237</v>
      </c>
      <c r="F115" s="30">
        <v>935500</v>
      </c>
      <c r="G115" s="30">
        <v>1165</v>
      </c>
      <c r="H115" s="30">
        <v>1168</v>
      </c>
      <c r="I115" s="30">
        <v>1145</v>
      </c>
      <c r="J115" s="30">
        <v>1153</v>
      </c>
      <c r="K115" s="32">
        <v>1183.2</v>
      </c>
      <c r="L115" s="32">
        <v>1187.5999999999999</v>
      </c>
    </row>
    <row r="116" spans="2:12">
      <c r="B116" s="22"/>
      <c r="C116" s="22"/>
      <c r="D116" s="22" t="s">
        <v>226</v>
      </c>
      <c r="E116" s="29" t="s">
        <v>238</v>
      </c>
      <c r="F116" s="30">
        <v>234100</v>
      </c>
      <c r="G116" s="30">
        <v>1152</v>
      </c>
      <c r="H116" s="30">
        <v>1158</v>
      </c>
      <c r="I116" s="30">
        <v>1148</v>
      </c>
      <c r="J116" s="30">
        <v>1154</v>
      </c>
      <c r="K116" s="32">
        <v>1179.5</v>
      </c>
      <c r="L116" s="32">
        <v>1186.3</v>
      </c>
    </row>
    <row r="117" spans="2:12">
      <c r="B117" s="22"/>
      <c r="C117" s="22"/>
      <c r="D117" s="22" t="s">
        <v>226</v>
      </c>
      <c r="E117" s="29" t="s">
        <v>239</v>
      </c>
      <c r="F117" s="30">
        <v>215100</v>
      </c>
      <c r="G117" s="30">
        <v>1153</v>
      </c>
      <c r="H117" s="30">
        <v>1161</v>
      </c>
      <c r="I117" s="30">
        <v>1151</v>
      </c>
      <c r="J117" s="30">
        <v>1160</v>
      </c>
      <c r="K117" s="32">
        <v>1176.4000000000001</v>
      </c>
      <c r="L117" s="32">
        <v>1185.3</v>
      </c>
    </row>
    <row r="118" spans="2:12">
      <c r="B118" s="22"/>
      <c r="C118" s="22"/>
      <c r="D118" s="22" t="s">
        <v>226</v>
      </c>
      <c r="E118" s="29" t="s">
        <v>240</v>
      </c>
      <c r="F118" s="30">
        <v>164600</v>
      </c>
      <c r="G118" s="30">
        <v>1159</v>
      </c>
      <c r="H118" s="30">
        <v>1163</v>
      </c>
      <c r="I118" s="30">
        <v>1155</v>
      </c>
      <c r="J118" s="30">
        <v>1157</v>
      </c>
      <c r="K118" s="32">
        <v>1173.5</v>
      </c>
      <c r="L118" s="32">
        <v>1184</v>
      </c>
    </row>
    <row r="119" spans="2:12">
      <c r="B119" s="22"/>
      <c r="C119" s="22"/>
      <c r="D119" s="22" t="s">
        <v>226</v>
      </c>
      <c r="E119" s="29" t="s">
        <v>241</v>
      </c>
      <c r="F119" s="30">
        <v>180600</v>
      </c>
      <c r="G119" s="30">
        <v>1157</v>
      </c>
      <c r="H119" s="30">
        <v>1157</v>
      </c>
      <c r="I119" s="30">
        <v>1150</v>
      </c>
      <c r="J119" s="30">
        <v>1152</v>
      </c>
      <c r="K119" s="32">
        <v>1170</v>
      </c>
      <c r="L119" s="32">
        <v>1182.4000000000001</v>
      </c>
    </row>
    <row r="120" spans="2:12">
      <c r="B120" s="22"/>
      <c r="C120" s="22"/>
      <c r="D120" s="22" t="s">
        <v>226</v>
      </c>
      <c r="E120" s="29" t="s">
        <v>242</v>
      </c>
      <c r="F120" s="30">
        <v>80300</v>
      </c>
      <c r="G120" s="30">
        <v>1153</v>
      </c>
      <c r="H120" s="30">
        <v>1154</v>
      </c>
      <c r="I120" s="30">
        <v>1151</v>
      </c>
      <c r="J120" s="30">
        <v>1153</v>
      </c>
      <c r="K120" s="32">
        <v>1166.4000000000001</v>
      </c>
      <c r="L120" s="32">
        <v>1180.5999999999999</v>
      </c>
    </row>
    <row r="121" spans="2:12">
      <c r="B121" s="22"/>
      <c r="C121" s="22"/>
      <c r="D121" s="22" t="s">
        <v>226</v>
      </c>
      <c r="E121" s="29" t="s">
        <v>243</v>
      </c>
      <c r="F121" s="30">
        <v>155800</v>
      </c>
      <c r="G121" s="30">
        <v>1153</v>
      </c>
      <c r="H121" s="30">
        <v>1153</v>
      </c>
      <c r="I121" s="30">
        <v>1150</v>
      </c>
      <c r="J121" s="30">
        <v>1152</v>
      </c>
      <c r="K121" s="32">
        <v>1162.8</v>
      </c>
      <c r="L121" s="32">
        <v>1178.8</v>
      </c>
    </row>
    <row r="122" spans="2:12">
      <c r="B122" s="22"/>
      <c r="C122" s="22"/>
      <c r="D122" s="22" t="s">
        <v>226</v>
      </c>
      <c r="E122" s="29" t="s">
        <v>244</v>
      </c>
      <c r="F122" s="30">
        <v>116200</v>
      </c>
      <c r="G122" s="30">
        <v>1151</v>
      </c>
      <c r="H122" s="30">
        <v>1152</v>
      </c>
      <c r="I122" s="30">
        <v>1150</v>
      </c>
      <c r="J122" s="30">
        <v>1151</v>
      </c>
      <c r="K122" s="32">
        <v>1159.4000000000001</v>
      </c>
      <c r="L122" s="32">
        <v>1177</v>
      </c>
    </row>
    <row r="123" spans="2:12">
      <c r="B123" s="22"/>
      <c r="C123" s="22"/>
      <c r="D123" s="22" t="s">
        <v>226</v>
      </c>
      <c r="E123" s="29" t="s">
        <v>245</v>
      </c>
      <c r="F123" s="30">
        <v>94400</v>
      </c>
      <c r="G123" s="30">
        <v>1151</v>
      </c>
      <c r="H123" s="30">
        <v>1152</v>
      </c>
      <c r="I123" s="30">
        <v>1150</v>
      </c>
      <c r="J123" s="30">
        <v>1151</v>
      </c>
      <c r="K123" s="32">
        <v>1156.3</v>
      </c>
      <c r="L123" s="32">
        <v>1175.2</v>
      </c>
    </row>
    <row r="124" spans="2:12">
      <c r="B124" s="22"/>
      <c r="C124" s="22"/>
      <c r="D124" s="22" t="s">
        <v>226</v>
      </c>
      <c r="E124" s="29" t="s">
        <v>246</v>
      </c>
      <c r="F124" s="30">
        <v>208700</v>
      </c>
      <c r="G124" s="30">
        <v>1151</v>
      </c>
      <c r="H124" s="30">
        <v>1152</v>
      </c>
      <c r="I124" s="30">
        <v>1148</v>
      </c>
      <c r="J124" s="30">
        <v>1149</v>
      </c>
      <c r="K124" s="32">
        <v>1153.2</v>
      </c>
      <c r="L124" s="32">
        <v>1173.7</v>
      </c>
    </row>
    <row r="125" spans="2:12">
      <c r="B125" s="22"/>
      <c r="C125" s="22"/>
      <c r="D125" s="22" t="s">
        <v>226</v>
      </c>
      <c r="E125" s="29" t="s">
        <v>247</v>
      </c>
      <c r="F125" s="30">
        <v>178300</v>
      </c>
      <c r="G125" s="30">
        <v>1149</v>
      </c>
      <c r="H125" s="30">
        <v>1151</v>
      </c>
      <c r="I125" s="30">
        <v>1147</v>
      </c>
      <c r="J125" s="30">
        <v>1148</v>
      </c>
      <c r="K125" s="32">
        <v>1152.7</v>
      </c>
      <c r="L125" s="32">
        <v>1172.3</v>
      </c>
    </row>
    <row r="126" spans="2:12">
      <c r="B126" s="22"/>
      <c r="C126" s="22"/>
      <c r="D126" s="22" t="s">
        <v>226</v>
      </c>
      <c r="E126" s="29" t="s">
        <v>248</v>
      </c>
      <c r="F126" s="30">
        <v>192000</v>
      </c>
      <c r="G126" s="30">
        <v>1148</v>
      </c>
      <c r="H126" s="30">
        <v>1156</v>
      </c>
      <c r="I126" s="30">
        <v>1148</v>
      </c>
      <c r="J126" s="30">
        <v>1156</v>
      </c>
      <c r="K126" s="32">
        <v>1152.9000000000001</v>
      </c>
      <c r="L126" s="32">
        <v>1171</v>
      </c>
    </row>
    <row r="127" spans="2:12">
      <c r="B127" s="22"/>
      <c r="C127" s="22"/>
      <c r="D127" s="22" t="s">
        <v>226</v>
      </c>
      <c r="E127" s="29" t="s">
        <v>249</v>
      </c>
      <c r="F127" s="30">
        <v>57900</v>
      </c>
      <c r="G127" s="30">
        <v>1155</v>
      </c>
      <c r="H127" s="30">
        <v>1156</v>
      </c>
      <c r="I127" s="30">
        <v>1153</v>
      </c>
      <c r="J127" s="30">
        <v>1153</v>
      </c>
      <c r="K127" s="32">
        <v>1152.2</v>
      </c>
      <c r="L127" s="32">
        <v>1169.5999999999999</v>
      </c>
    </row>
    <row r="128" spans="2:12">
      <c r="B128" s="22"/>
      <c r="C128" s="22"/>
      <c r="D128" s="22" t="s">
        <v>226</v>
      </c>
      <c r="E128" s="29" t="s">
        <v>250</v>
      </c>
      <c r="F128" s="30">
        <v>97200</v>
      </c>
      <c r="G128" s="30">
        <v>1153</v>
      </c>
      <c r="H128" s="30">
        <v>1156</v>
      </c>
      <c r="I128" s="30">
        <v>1153</v>
      </c>
      <c r="J128" s="30">
        <v>1154</v>
      </c>
      <c r="K128" s="32">
        <v>1151.9000000000001</v>
      </c>
      <c r="L128" s="32">
        <v>1168.0999999999999</v>
      </c>
    </row>
    <row r="129" spans="2:12">
      <c r="B129" s="22"/>
      <c r="C129" s="22"/>
      <c r="D129" s="22" t="s">
        <v>226</v>
      </c>
      <c r="E129" s="29" t="s">
        <v>251</v>
      </c>
      <c r="F129" s="30">
        <v>61700</v>
      </c>
      <c r="G129" s="30">
        <v>1154</v>
      </c>
      <c r="H129" s="30">
        <v>1156</v>
      </c>
      <c r="I129" s="30">
        <v>1153</v>
      </c>
      <c r="J129" s="30">
        <v>1154</v>
      </c>
      <c r="K129" s="32">
        <v>1152.0999999999999</v>
      </c>
      <c r="L129" s="32">
        <v>1166.7</v>
      </c>
    </row>
    <row r="130" spans="2:12">
      <c r="B130" s="22"/>
      <c r="C130" s="22"/>
      <c r="D130" s="22" t="s">
        <v>226</v>
      </c>
      <c r="E130" s="29" t="s">
        <v>252</v>
      </c>
      <c r="F130" s="30">
        <v>9000</v>
      </c>
      <c r="G130" s="30">
        <v>1157</v>
      </c>
      <c r="H130" s="30">
        <v>1157</v>
      </c>
      <c r="I130" s="30">
        <v>1157</v>
      </c>
      <c r="J130" s="30">
        <v>1157</v>
      </c>
      <c r="K130" s="32">
        <v>1152.5</v>
      </c>
      <c r="L130" s="32">
        <v>1165.3</v>
      </c>
    </row>
    <row r="131" spans="2:12">
      <c r="B131" s="22"/>
      <c r="C131" s="22"/>
      <c r="D131" s="22" t="s">
        <v>226</v>
      </c>
      <c r="E131" s="29" t="s">
        <v>253</v>
      </c>
      <c r="F131" s="30">
        <v>187800</v>
      </c>
      <c r="G131" s="30">
        <v>1157</v>
      </c>
      <c r="H131" s="30">
        <v>1157</v>
      </c>
      <c r="I131" s="30">
        <v>1151</v>
      </c>
      <c r="J131" s="30">
        <v>1152</v>
      </c>
      <c r="K131" s="32">
        <v>1152.5</v>
      </c>
      <c r="L131" s="32">
        <v>1163.8</v>
      </c>
    </row>
    <row r="132" spans="2:12">
      <c r="B132" s="22"/>
      <c r="C132" s="22"/>
      <c r="D132" s="22" t="s">
        <v>226</v>
      </c>
      <c r="E132" s="29" t="s">
        <v>225</v>
      </c>
      <c r="F132" s="30">
        <v>137500</v>
      </c>
      <c r="G132" s="30">
        <v>1151</v>
      </c>
      <c r="H132" s="30">
        <v>1154</v>
      </c>
      <c r="I132" s="30">
        <v>1150</v>
      </c>
      <c r="J132" s="30">
        <v>1154</v>
      </c>
      <c r="K132" s="32">
        <v>1152.8</v>
      </c>
      <c r="L132" s="32">
        <v>1162.3</v>
      </c>
    </row>
    <row r="133" spans="2:12">
      <c r="B133" s="22"/>
      <c r="C133" s="22"/>
      <c r="D133" s="22" t="s">
        <v>226</v>
      </c>
      <c r="E133" s="29" t="s">
        <v>254</v>
      </c>
      <c r="F133" s="30">
        <v>59600</v>
      </c>
      <c r="G133" s="30">
        <v>1153</v>
      </c>
      <c r="H133" s="30">
        <v>1156</v>
      </c>
      <c r="I133" s="30">
        <v>1153</v>
      </c>
      <c r="J133" s="30">
        <v>1154</v>
      </c>
      <c r="K133" s="32">
        <v>1153.0999999999999</v>
      </c>
      <c r="L133" s="32">
        <v>1161</v>
      </c>
    </row>
    <row r="134" spans="2:12">
      <c r="B134" s="22"/>
      <c r="C134" s="22"/>
      <c r="D134" s="22" t="s">
        <v>226</v>
      </c>
      <c r="E134" s="29" t="s">
        <v>255</v>
      </c>
      <c r="F134" s="30">
        <v>114200</v>
      </c>
      <c r="G134" s="30">
        <v>1155</v>
      </c>
      <c r="H134" s="30">
        <v>1160</v>
      </c>
      <c r="I134" s="30">
        <v>1155</v>
      </c>
      <c r="J134" s="30">
        <v>1158</v>
      </c>
      <c r="K134" s="32">
        <v>1154</v>
      </c>
      <c r="L134" s="32">
        <v>1159.8</v>
      </c>
    </row>
    <row r="135" spans="2:12">
      <c r="B135" s="22"/>
      <c r="C135" s="22"/>
      <c r="D135" s="22" t="s">
        <v>226</v>
      </c>
      <c r="E135" s="29" t="s">
        <v>256</v>
      </c>
      <c r="F135" s="30">
        <v>92500</v>
      </c>
      <c r="G135" s="30">
        <v>1158</v>
      </c>
      <c r="H135" s="30">
        <v>1160</v>
      </c>
      <c r="I135" s="30">
        <v>1157</v>
      </c>
      <c r="J135" s="30">
        <v>1159</v>
      </c>
      <c r="K135" s="32">
        <v>1155.0999999999999</v>
      </c>
      <c r="L135" s="32">
        <v>1158.5999999999999</v>
      </c>
    </row>
    <row r="136" spans="2:12">
      <c r="B136" s="22"/>
      <c r="C136" s="22"/>
      <c r="D136" s="22" t="s">
        <v>226</v>
      </c>
      <c r="E136" s="29" t="s">
        <v>257</v>
      </c>
      <c r="F136" s="30">
        <v>68800</v>
      </c>
      <c r="G136" s="30">
        <v>1158</v>
      </c>
      <c r="H136" s="30">
        <v>1161</v>
      </c>
      <c r="I136" s="30">
        <v>1158</v>
      </c>
      <c r="J136" s="30">
        <v>1160</v>
      </c>
      <c r="K136" s="32">
        <v>1155.5</v>
      </c>
      <c r="L136" s="32">
        <v>1157.5</v>
      </c>
    </row>
    <row r="137" spans="2:12">
      <c r="B137" s="22"/>
      <c r="C137" s="22"/>
      <c r="D137" s="22" t="s">
        <v>226</v>
      </c>
      <c r="E137" s="29" t="s">
        <v>258</v>
      </c>
      <c r="F137" s="30">
        <v>81700</v>
      </c>
      <c r="G137" s="30">
        <v>1159</v>
      </c>
      <c r="H137" s="30">
        <v>1159</v>
      </c>
      <c r="I137" s="30">
        <v>1157</v>
      </c>
      <c r="J137" s="30">
        <v>1158</v>
      </c>
      <c r="K137" s="32">
        <v>1156</v>
      </c>
      <c r="L137" s="32">
        <v>1156.4000000000001</v>
      </c>
    </row>
    <row r="138" spans="2:12">
      <c r="B138" s="22"/>
      <c r="C138" s="22"/>
      <c r="D138" s="22" t="s">
        <v>226</v>
      </c>
      <c r="E138" s="29" t="s">
        <v>259</v>
      </c>
      <c r="F138" s="30">
        <v>91200</v>
      </c>
      <c r="G138" s="30">
        <v>1158</v>
      </c>
      <c r="H138" s="30">
        <v>1159</v>
      </c>
      <c r="I138" s="30">
        <v>1154</v>
      </c>
      <c r="J138" s="30">
        <v>1154</v>
      </c>
      <c r="K138" s="32">
        <v>1156</v>
      </c>
      <c r="L138" s="32">
        <v>1155.3</v>
      </c>
    </row>
    <row r="139" spans="2:12">
      <c r="B139" s="22"/>
      <c r="C139" s="22"/>
      <c r="D139" s="22" t="s">
        <v>226</v>
      </c>
      <c r="E139" s="29" t="s">
        <v>228</v>
      </c>
      <c r="F139" s="30">
        <v>255100</v>
      </c>
      <c r="G139" s="30">
        <v>1154</v>
      </c>
      <c r="H139" s="30">
        <v>1154</v>
      </c>
      <c r="I139" s="30">
        <v>1149</v>
      </c>
      <c r="J139" s="30">
        <v>1151</v>
      </c>
      <c r="K139" s="32">
        <v>1155.7</v>
      </c>
      <c r="L139" s="32">
        <v>1154.2</v>
      </c>
    </row>
    <row r="140" spans="2:12">
      <c r="B140" s="22"/>
      <c r="C140" s="22"/>
      <c r="D140" s="22" t="s">
        <v>226</v>
      </c>
      <c r="E140" s="29" t="s">
        <v>229</v>
      </c>
      <c r="F140" s="30">
        <v>96600</v>
      </c>
      <c r="G140" s="30">
        <v>1151</v>
      </c>
      <c r="H140" s="30">
        <v>1152</v>
      </c>
      <c r="I140" s="30">
        <v>1150</v>
      </c>
      <c r="J140" s="30">
        <v>1152</v>
      </c>
      <c r="K140" s="32">
        <v>1155.2</v>
      </c>
      <c r="L140" s="32">
        <v>1154.0999999999999</v>
      </c>
    </row>
    <row r="141" spans="2:12">
      <c r="B141" s="18" t="s">
        <v>224</v>
      </c>
      <c r="C141" s="18" t="s">
        <v>224</v>
      </c>
      <c r="D141" s="18" t="s">
        <v>224</v>
      </c>
      <c r="E141" s="18" t="s">
        <v>224</v>
      </c>
      <c r="F141" s="18" t="s">
        <v>224</v>
      </c>
      <c r="G141" s="18" t="s">
        <v>224</v>
      </c>
      <c r="H141" s="18" t="s">
        <v>224</v>
      </c>
      <c r="I141" s="18" t="s">
        <v>224</v>
      </c>
      <c r="J141" s="18" t="s">
        <v>224</v>
      </c>
      <c r="K141" s="18" t="s">
        <v>224</v>
      </c>
      <c r="L141" s="18" t="s">
        <v>224</v>
      </c>
    </row>
    <row r="142" spans="2:12">
      <c r="B142" s="18" t="s">
        <v>224</v>
      </c>
      <c r="C142" s="18" t="s">
        <v>224</v>
      </c>
      <c r="D142" s="18" t="s">
        <v>224</v>
      </c>
      <c r="E142" s="18" t="s">
        <v>224</v>
      </c>
      <c r="F142" s="18" t="s">
        <v>224</v>
      </c>
      <c r="G142" s="18" t="s">
        <v>224</v>
      </c>
      <c r="H142" s="18" t="s">
        <v>224</v>
      </c>
      <c r="I142" s="18" t="s">
        <v>224</v>
      </c>
      <c r="J142" s="18" t="s">
        <v>224</v>
      </c>
      <c r="K142" s="18" t="s">
        <v>224</v>
      </c>
      <c r="L142" s="18" t="s">
        <v>224</v>
      </c>
    </row>
    <row r="143" spans="2:12">
      <c r="B143" s="18"/>
      <c r="C143" s="18"/>
      <c r="D143" s="18"/>
      <c r="E143" s="18"/>
      <c r="F143" s="18"/>
      <c r="G143" s="18"/>
      <c r="H143" s="18"/>
      <c r="I143" s="18"/>
      <c r="J143" s="18"/>
      <c r="K143" s="18"/>
      <c r="L143" s="18"/>
    </row>
    <row r="144" spans="2:12">
      <c r="B144" s="18"/>
      <c r="C144" s="18"/>
      <c r="D144" s="18"/>
      <c r="E144" s="18"/>
      <c r="F144" s="18"/>
      <c r="G144" s="18"/>
      <c r="H144" s="18"/>
      <c r="I144" s="18"/>
      <c r="J144" s="18"/>
      <c r="K144" s="18"/>
      <c r="L144" s="18"/>
    </row>
    <row r="145" spans="2:12">
      <c r="B145" s="18"/>
      <c r="C145" s="18"/>
      <c r="D145" s="18"/>
      <c r="E145" s="18"/>
      <c r="F145" s="18"/>
      <c r="G145" s="18"/>
      <c r="H145" s="18"/>
      <c r="I145" s="18"/>
      <c r="J145" s="18"/>
      <c r="K145" s="18"/>
      <c r="L145" s="18"/>
    </row>
    <row r="146" spans="2:12">
      <c r="B146" s="18"/>
      <c r="C146" s="18"/>
      <c r="D146" s="18"/>
      <c r="E146" s="18"/>
      <c r="F146" s="18"/>
      <c r="G146" s="18"/>
      <c r="H146" s="18"/>
      <c r="I146" s="18"/>
      <c r="J146" s="18"/>
      <c r="K146" s="18"/>
      <c r="L146" s="18"/>
    </row>
    <row r="147" spans="2:12">
      <c r="B147" s="18"/>
      <c r="C147" s="18"/>
      <c r="D147" s="18"/>
      <c r="E147" s="18"/>
      <c r="F147" s="18"/>
      <c r="G147" s="18"/>
      <c r="H147" s="18"/>
      <c r="I147" s="18"/>
      <c r="J147" s="18"/>
      <c r="K147" s="18"/>
      <c r="L147" s="18"/>
    </row>
    <row r="148" spans="2:12">
      <c r="B148" s="18"/>
      <c r="C148" s="18"/>
      <c r="D148" s="18"/>
      <c r="E148" s="18"/>
      <c r="F148" s="18"/>
      <c r="G148" s="18"/>
      <c r="H148" s="18"/>
      <c r="I148" s="18"/>
      <c r="J148" s="18"/>
      <c r="K148" s="18"/>
      <c r="L148" s="18"/>
    </row>
    <row r="149" spans="2:12">
      <c r="B149" s="18"/>
      <c r="C149" s="18"/>
      <c r="D149" s="18"/>
      <c r="E149" s="18"/>
      <c r="F149" s="18"/>
      <c r="G149" s="18"/>
      <c r="H149" s="18"/>
      <c r="I149" s="18"/>
      <c r="J149" s="18"/>
      <c r="K149" s="18"/>
      <c r="L149" s="18"/>
    </row>
    <row r="150" spans="2:12">
      <c r="B150" s="18"/>
      <c r="C150" s="18"/>
      <c r="D150" s="18"/>
      <c r="E150" s="18"/>
      <c r="F150" s="18"/>
      <c r="G150" s="18"/>
      <c r="H150" s="18"/>
      <c r="I150" s="18"/>
      <c r="J150" s="18"/>
      <c r="K150" s="18"/>
      <c r="L150" s="18"/>
    </row>
    <row r="151" spans="2:12">
      <c r="B151" s="18"/>
      <c r="C151" s="18"/>
      <c r="D151" s="18"/>
      <c r="E151" s="18"/>
      <c r="F151" s="18"/>
      <c r="G151" s="18"/>
      <c r="H151" s="18"/>
      <c r="I151" s="18"/>
      <c r="J151" s="18"/>
      <c r="K151" s="18"/>
      <c r="L151" s="18"/>
    </row>
    <row r="152" spans="2:12">
      <c r="B152" s="18"/>
      <c r="C152" s="18"/>
      <c r="D152" s="18"/>
      <c r="E152" s="18"/>
      <c r="F152" s="18"/>
      <c r="G152" s="18"/>
      <c r="H152" s="18"/>
      <c r="I152" s="18"/>
      <c r="J152" s="18"/>
      <c r="K152" s="18"/>
      <c r="L152" s="18"/>
    </row>
  </sheetData>
  <mergeCells count="35">
    <mergeCell ref="Q32:U32"/>
    <mergeCell ref="Q21:U21"/>
    <mergeCell ref="Q26:U26"/>
    <mergeCell ref="Q22:U22"/>
    <mergeCell ref="Q28:U28"/>
    <mergeCell ref="Q29:U29"/>
    <mergeCell ref="Q30:U30"/>
    <mergeCell ref="Q31:U31"/>
    <mergeCell ref="Q43:U43"/>
    <mergeCell ref="Q44:U44"/>
    <mergeCell ref="Q45:U45"/>
    <mergeCell ref="Q34:U34"/>
    <mergeCell ref="Q35:U35"/>
    <mergeCell ref="Q36:U36"/>
    <mergeCell ref="Q37:U37"/>
    <mergeCell ref="Q38:U38"/>
    <mergeCell ref="Q39:U39"/>
    <mergeCell ref="Q40:U40"/>
    <mergeCell ref="Q41:U41"/>
    <mergeCell ref="K15:L15"/>
    <mergeCell ref="K16:L16"/>
    <mergeCell ref="C10:D10"/>
    <mergeCell ref="C11:D11"/>
    <mergeCell ref="Q42:U42"/>
    <mergeCell ref="Q27:U27"/>
    <mergeCell ref="Q23:U23"/>
    <mergeCell ref="T18:U18"/>
    <mergeCell ref="Q33:U33"/>
    <mergeCell ref="Q25:U25"/>
    <mergeCell ref="R18:S18"/>
    <mergeCell ref="I20:J20"/>
    <mergeCell ref="I21:J21"/>
    <mergeCell ref="K20:L20"/>
    <mergeCell ref="K21:L21"/>
    <mergeCell ref="I19:L19"/>
  </mergeCells>
  <phoneticPr fontId="4"/>
  <conditionalFormatting sqref="O33">
    <cfRule type="expression" dxfId="17" priority="12">
      <formula>$O$32=0</formula>
    </cfRule>
  </conditionalFormatting>
  <conditionalFormatting sqref="O35">
    <cfRule type="expression" dxfId="16" priority="11">
      <formula>$O$34&lt;&gt;5</formula>
    </cfRule>
  </conditionalFormatting>
  <conditionalFormatting sqref="O45">
    <cfRule type="expression" dxfId="15" priority="3">
      <formula>$O$41=0</formula>
    </cfRule>
    <cfRule type="expression" dxfId="14" priority="10">
      <formula>$O$44&lt;&gt;5</formula>
    </cfRule>
  </conditionalFormatting>
  <conditionalFormatting sqref="N30:U30 N42:U42">
    <cfRule type="expression" dxfId="13" priority="13">
      <formula>$O$26&lt;&gt;1</formula>
    </cfRule>
  </conditionalFormatting>
  <conditionalFormatting sqref="O42">
    <cfRule type="expression" dxfId="12" priority="5">
      <formula>$O$26=0</formula>
    </cfRule>
  </conditionalFormatting>
  <conditionalFormatting sqref="O42:O44">
    <cfRule type="expression" dxfId="11" priority="4">
      <formula>$O$41=0</formula>
    </cfRule>
  </conditionalFormatting>
  <conditionalFormatting sqref="O40">
    <cfRule type="expression" dxfId="10" priority="2">
      <formula>OR(AND($O$28&lt;&gt;1,$O$28&lt;&gt;2),$O$39&lt;&gt;1)</formula>
    </cfRule>
  </conditionalFormatting>
  <conditionalFormatting sqref="O37:O39">
    <cfRule type="expression" dxfId="9" priority="1">
      <formula>AND($O$28&lt;&gt;1,$O$28&lt;&gt;2)</formula>
    </cfRule>
  </conditionalFormatting>
  <dataValidations count="13">
    <dataValidation type="list" allowBlank="1" showErrorMessage="1" errorTitle="注文区分　入力値エラー" error="0,1,2以外の数値は入力できません" promptTitle="注文区分" prompt="0:通常注文_x000a_1:指値付通常注文_x000a_2:逆指値注文" sqref="O28" xr:uid="{00000000-0002-0000-0300-000000000000}">
      <formula1>"0,1,2"</formula1>
    </dataValidation>
    <dataValidation type="list" allowBlank="1" showErrorMessage="1" errorTitle="入力値エラー" error="0，1以外の数値は入力できません" promptTitle="注文種類" prompt="0：現物_x000a_1：信用" sqref="O26" xr:uid="{00000000-0002-0000-0300-000001000000}">
      <formula1>"0,1"</formula1>
    </dataValidation>
    <dataValidation type="list" allowBlank="1" showErrorMessage="1" errorTitle="SOR区分" error="0，1以外の数値は入力できません" promptTitle="SOR区分" prompt="0:通常注文_x000a_1:SOR注文" sqref="O29" xr:uid="{00000000-0002-0000-0300-000002000000}">
      <formula1>"0,1"</formula1>
    </dataValidation>
    <dataValidation type="list" allowBlank="1" showErrorMessage="1" errorTitle="信用区分" error="1,2,3,4以外の数値は入力できません" promptTitle="信用区分" prompt="1:制度信用（６か月）_x000a_2:一般信用（無期限）_x000a_3:一般信用（14日）_x000a_4:一般信用（いちにち）" sqref="O30" xr:uid="{00000000-0002-0000-0300-000003000000}">
      <formula1>"1,2,3,4"</formula1>
    </dataValidation>
    <dataValidation type="list" allowBlank="1" showErrorMessage="1" errorTitle="口座区分　入力値エラー" error="0,1,2以外の数値は入力できません" promptTitle="口座区分" prompt="0:特定_x000a_1:一般_x000a_2:NISA" sqref="O36" xr:uid="{00000000-0002-0000-0300-000004000000}">
      <formula1>"0,1,2"</formula1>
    </dataValidation>
    <dataValidation type="list" allowBlank="1" showErrorMessage="1" errorTitle="執行条件　入力値エラー" error="1,2,3,4,5,6,7以外の数値は入力できません" promptTitle="執行条件" prompt="1:本日中_x000a_2:今週中_x000a_3:寄付_x000a_4:引け_x000a_5:期間指定_x000a_6:大引不成_x000a_7:不成" sqref="O34" xr:uid="{00000000-0002-0000-0300-000005000000}">
      <formula1>"1,2,3,4,5,6,7"</formula1>
    </dataValidation>
    <dataValidation type="list" allowBlank="1" showErrorMessage="1" errorTitle="価格区分　入力値エラー" error="0，1以外の数値は入力できません" promptTitle="価格区分" prompt="0：成行_x000a_1：指値" sqref="O32" xr:uid="{00000000-0002-0000-0300-000006000000}">
      <formula1>"0,1"</formula1>
    </dataValidation>
    <dataValidation type="list" allowBlank="1" showErrorMessage="1" errorTitle="逆指値条件区分　入力値エラー" error="1,2以外の数値は入力できません" promptTitle="逆指値条件区分" prompt="1:以上_x000a_2:以下" sqref="O38" xr:uid="{00000000-0002-0000-0300-000007000000}">
      <formula1>"1,2"</formula1>
    </dataValidation>
    <dataValidation type="list" allowBlank="1" showErrorMessage="1" errorTitle="逆指値価格区分　入力値エラー" error="0,1以外の数値は入力できません" promptTitle="逆指値価格区分" prompt="0:成行_x000a_1:指値" sqref="O39" xr:uid="{00000000-0002-0000-0300-000008000000}">
      <formula1>"0,1"</formula1>
    </dataValidation>
    <dataValidation type="list" allowBlank="1" showErrorMessage="1" errorTitle="セット注文区分　入力値エラー" error="0,1以外の数値は入力できません" promptTitle="セット注文区分" prompt="0:予約しない_x000a_1:予約する" sqref="O41" xr:uid="{00000000-0002-0000-0300-000009000000}">
      <formula1>"0,1"</formula1>
    </dataValidation>
    <dataValidation type="list" allowBlank="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O44" xr:uid="{00000000-0002-0000-0300-00000A000000}">
      <formula1>"1,2,3,4,5,6,7"</formula1>
    </dataValidation>
    <dataValidation type="list" allowBlank="1" showErrorMessage="1" errorTitle="セット注文価格区分 入力値エラー" error="1,2以外の数値は入力できません" promptTitle="セット注文価格区分" prompt="1:指値_x000a_2:値幅指定_x000a_" sqref="O42" xr:uid="{00000000-0002-0000-0300-00000B000000}">
      <formula1>"1,2"</formula1>
    </dataValidation>
    <dataValidation type="list" allowBlank="1" showErrorMessage="1" errorTitle="売買区分　入力値エラー" error="1，3以外の数値は入力できません" promptTitle="売買区分" prompt="1:売（売建）_x000a_3:買（買建)" sqref="O27" xr:uid="{00000000-0002-0000-0300-00000C000000}">
      <formula1>"1,3"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34998626667073579"/>
  </sheetPr>
  <dimension ref="A1:F7"/>
  <sheetViews>
    <sheetView workbookViewId="0">
      <selection activeCell="E7" sqref="E7"/>
    </sheetView>
  </sheetViews>
  <sheetFormatPr defaultRowHeight="18.75"/>
  <cols>
    <col min="9" max="9" width="19.75" bestFit="1" customWidth="1"/>
  </cols>
  <sheetData>
    <row r="1" spans="1:6">
      <c r="A1" s="85" t="s">
        <v>197</v>
      </c>
    </row>
    <row r="2" spans="1:6">
      <c r="A2" s="86" t="s">
        <v>198</v>
      </c>
    </row>
    <row r="3" spans="1:6">
      <c r="A3" s="86" t="s">
        <v>199</v>
      </c>
    </row>
    <row r="4" spans="1:6">
      <c r="A4" s="95">
        <f>MAX(A7:A1048576)</f>
        <v>0</v>
      </c>
      <c r="B4" t="s">
        <v>219</v>
      </c>
    </row>
    <row r="5" spans="1:6">
      <c r="A5" t="str">
        <f>_xll.RssOrderIDList($A$6:$F$6)</f>
        <v>=@RssOrderIDList($A$6:$F$6) =&gt; 配信中</v>
      </c>
    </row>
    <row r="6" spans="1:6">
      <c r="A6" t="s">
        <v>200</v>
      </c>
      <c r="B6" t="s">
        <v>201</v>
      </c>
      <c r="C6" t="s">
        <v>202</v>
      </c>
      <c r="D6" t="s">
        <v>203</v>
      </c>
      <c r="E6" t="s">
        <v>204</v>
      </c>
      <c r="F6" t="s">
        <v>205</v>
      </c>
    </row>
    <row r="7" spans="1:6">
      <c r="A7" s="87" t="s">
        <v>52</v>
      </c>
      <c r="B7" s="87" t="s">
        <v>52</v>
      </c>
      <c r="C7" s="87" t="s">
        <v>52</v>
      </c>
      <c r="D7" s="87" t="s">
        <v>52</v>
      </c>
      <c r="E7" s="87" t="s">
        <v>52</v>
      </c>
      <c r="F7" s="87" t="s">
        <v>52</v>
      </c>
    </row>
  </sheetData>
  <phoneticPr fontId="4"/>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6EDA3-8A5D-4CBC-AB8C-4DA06B3C019A}">
  <sheetPr codeName="Sheet7"/>
  <dimension ref="A1:T2"/>
  <sheetViews>
    <sheetView workbookViewId="0"/>
  </sheetViews>
  <sheetFormatPr defaultRowHeight="18.75"/>
  <sheetData>
    <row r="1" spans="1:20">
      <c r="A1" t="str" cm="1">
        <f t="array" ref="A1">_xll.RssMarginPositionList($A$2:$T$2)</f>
        <v>=RssMarginPositionList($A$2:$T$2) =&gt; 接続待ち</v>
      </c>
    </row>
    <row r="2" spans="1:20">
      <c r="A2" t="s">
        <v>265</v>
      </c>
      <c r="B2" t="s">
        <v>266</v>
      </c>
      <c r="C2" t="s">
        <v>267</v>
      </c>
      <c r="D2" t="s">
        <v>268</v>
      </c>
      <c r="E2" t="s">
        <v>269</v>
      </c>
      <c r="F2" t="s">
        <v>270</v>
      </c>
      <c r="G2" t="s">
        <v>271</v>
      </c>
      <c r="H2" t="s">
        <v>272</v>
      </c>
      <c r="I2" t="s">
        <v>273</v>
      </c>
      <c r="J2" t="s">
        <v>274</v>
      </c>
      <c r="K2" t="s">
        <v>275</v>
      </c>
      <c r="L2" t="s">
        <v>276</v>
      </c>
      <c r="M2" t="s">
        <v>277</v>
      </c>
      <c r="N2" t="s">
        <v>278</v>
      </c>
      <c r="O2" t="s">
        <v>279</v>
      </c>
      <c r="P2" t="s">
        <v>280</v>
      </c>
      <c r="Q2" t="s">
        <v>281</v>
      </c>
      <c r="R2" t="s">
        <v>282</v>
      </c>
      <c r="S2" t="s">
        <v>283</v>
      </c>
      <c r="T2" t="s">
        <v>284</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53D6F-0F48-41D3-9486-CD93F78B44C2}">
  <sheetPr codeName="Sheet6"/>
  <dimension ref="B2:AA152"/>
  <sheetViews>
    <sheetView showGridLines="0" topLeftCell="F8" zoomScaleNormal="100" workbookViewId="0">
      <selection activeCell="N51" sqref="N51"/>
    </sheetView>
  </sheetViews>
  <sheetFormatPr defaultColWidth="9" defaultRowHeight="15.75"/>
  <cols>
    <col min="1" max="1" width="3.875" style="23" customWidth="1"/>
    <col min="2" max="2" width="16.125" style="23" customWidth="1"/>
    <col min="3" max="3" width="11.5" style="23" bestFit="1" customWidth="1"/>
    <col min="4" max="4" width="9.5" style="23" bestFit="1" customWidth="1"/>
    <col min="5" max="5" width="12.125" style="23" customWidth="1"/>
    <col min="6" max="6" width="13.5" style="23" bestFit="1" customWidth="1"/>
    <col min="7" max="7" width="11.25" style="23" customWidth="1"/>
    <col min="8" max="8" width="12.125" style="23" bestFit="1" customWidth="1"/>
    <col min="9" max="10" width="9.875" style="23" bestFit="1" customWidth="1"/>
    <col min="11" max="12" width="10.5" style="23" bestFit="1" customWidth="1"/>
    <col min="13" max="13" width="5" style="23" customWidth="1"/>
    <col min="14" max="14" width="15.75" style="23" customWidth="1"/>
    <col min="15" max="15" width="12.25" style="23" customWidth="1"/>
    <col min="16" max="16" width="10" style="23" bestFit="1" customWidth="1"/>
    <col min="17" max="17" width="9" style="23" customWidth="1"/>
    <col min="18" max="18" width="15.375" style="23" customWidth="1"/>
    <col min="19" max="19" width="20.25" style="23" customWidth="1"/>
    <col min="20" max="20" width="22" style="23" customWidth="1"/>
    <col min="21" max="21" width="24.5" style="23" customWidth="1"/>
    <col min="22" max="22" width="9" style="23"/>
    <col min="23" max="23" width="9" style="23" customWidth="1"/>
    <col min="24" max="25" width="9" style="23"/>
    <col min="26" max="26" width="15" style="23" bestFit="1" customWidth="1"/>
    <col min="27" max="27" width="9.375" style="23" bestFit="1" customWidth="1"/>
    <col min="28" max="16384" width="9" style="23"/>
  </cols>
  <sheetData>
    <row r="2" spans="2:27" ht="21">
      <c r="B2" s="25" t="s">
        <v>148</v>
      </c>
    </row>
    <row r="3" spans="2:27" ht="18">
      <c r="B3" s="24" t="s">
        <v>147</v>
      </c>
    </row>
    <row r="4" spans="2:27" ht="18">
      <c r="B4" s="24" t="s">
        <v>146</v>
      </c>
    </row>
    <row r="5" spans="2:27" ht="18">
      <c r="B5" s="24" t="s">
        <v>145</v>
      </c>
      <c r="R5" s="23" t="str">
        <f>_xll.RssCapacityList($R$6:$U$6)</f>
        <v>=@RssCapacityList($R$6:$U$6) =&gt; 接続待ち</v>
      </c>
    </row>
    <row r="6" spans="2:27" ht="18">
      <c r="B6" s="24" t="s">
        <v>144</v>
      </c>
      <c r="R6" s="22" t="s">
        <v>37</v>
      </c>
      <c r="S6" s="22" t="s">
        <v>36</v>
      </c>
      <c r="T6" s="22" t="s">
        <v>35</v>
      </c>
      <c r="U6" s="22" t="s">
        <v>34</v>
      </c>
    </row>
    <row r="7" spans="2:27" ht="18">
      <c r="B7" s="24" t="s">
        <v>139</v>
      </c>
      <c r="R7" s="19">
        <v>26353</v>
      </c>
      <c r="S7" s="19"/>
      <c r="T7" s="19"/>
      <c r="U7" s="102"/>
    </row>
    <row r="8" spans="2:27" ht="18">
      <c r="B8" s="24" t="s">
        <v>138</v>
      </c>
      <c r="R8" s="64" t="s">
        <v>52</v>
      </c>
      <c r="S8" s="64" t="s">
        <v>52</v>
      </c>
      <c r="T8" s="64" t="s">
        <v>52</v>
      </c>
      <c r="U8" s="63" t="s">
        <v>52</v>
      </c>
    </row>
    <row r="9" spans="2:27">
      <c r="R9" s="18"/>
      <c r="S9" s="18"/>
      <c r="T9" s="18"/>
      <c r="U9" s="18"/>
    </row>
    <row r="10" spans="2:27">
      <c r="C10" s="112" t="s">
        <v>7</v>
      </c>
      <c r="D10" s="112"/>
      <c r="E10" s="22" t="s">
        <v>137</v>
      </c>
      <c r="F10" s="22" t="s">
        <v>136</v>
      </c>
    </row>
    <row r="11" spans="2:27" ht="16.5" thickBot="1">
      <c r="B11" s="62" t="s">
        <v>135</v>
      </c>
      <c r="C11" s="112" t="str">
        <f>_xll.RssMarket($K$16,"銘柄名称")</f>
        <v/>
      </c>
      <c r="D11" s="112"/>
      <c r="E11" s="45" t="str">
        <f>_xll.RssMarket($K$16,"市場名称")</f>
        <v/>
      </c>
      <c r="F11" s="45" t="str">
        <f>_xll.RssMarket($K$16,"信用貸借区分")</f>
        <v/>
      </c>
      <c r="S11" s="22" t="s">
        <v>134</v>
      </c>
      <c r="T11" s="22" t="s">
        <v>133</v>
      </c>
      <c r="U11" s="61" t="s">
        <v>132</v>
      </c>
      <c r="V11" s="23" t="s">
        <v>262</v>
      </c>
      <c r="W11" s="23" t="s">
        <v>263</v>
      </c>
      <c r="X11" s="23" t="s">
        <v>288</v>
      </c>
      <c r="Y11" s="23" t="s">
        <v>289</v>
      </c>
      <c r="Z11" s="23" t="s">
        <v>293</v>
      </c>
      <c r="AA11" s="23" t="s">
        <v>292</v>
      </c>
    </row>
    <row r="12" spans="2:27" ht="16.5" thickBot="1">
      <c r="R12" s="22" t="s">
        <v>131</v>
      </c>
      <c r="S12" s="32" cm="1">
        <f t="array" ref="S12">_xlfn.LET(
  _xlpm.r, K50:K1006,
  _xlpm.p, LOOKUP(2, 1/(ISNUMBER(_xlpm.r)), ROW(_xlpm.r)),
  INDEX(K:K, _xlpm.p)
)</f>
        <v>1155.2</v>
      </c>
      <c r="T12" s="32" cm="1">
        <f t="array" ref="T12">_xlfn.LET(
  _xlpm.r, L50:L1006,
  _xlpm.p, LOOKUP(2, 1/(ISNUMBER(_xlpm.r)), ROW(_xlpm.r)),
  INDEX(L:L, _xlpm.p)
)</f>
        <v>1154.0999999999999</v>
      </c>
      <c r="U12" s="60">
        <f>S12-T12</f>
        <v>1.1000000000001364</v>
      </c>
      <c r="V12" s="23" cm="1">
        <f t="array" ref="V12">_xlfn.LET(
  _xlpm.r, J50:J1006,
  _xlpm.p, LOOKUP(2, 1/(ISNUMBER(_xlpm.r)), ROW(_xlpm.r)),
  INDEX(J:J, _xlpm.p)
)</f>
        <v>1152</v>
      </c>
      <c r="W12" s="23" cm="1">
        <f t="array" ref="W12">_xlfn.LET(
  _xlpm.r, J50:J1006,
  _xlpm.p, LOOKUP(2, 1/(ISNUMBER(_xlpm.r)), ROW(_xlpm.r)),
  INDEX(J:J, _xlpm.p-1)
)</f>
        <v>1151</v>
      </c>
      <c r="X12" s="23" cm="1">
        <f t="array" ref="X12">_xlfn.LET(
  _xlpm.r, H51:H1006,
  _xlpm.p, LOOKUP(2, 1/(ISNUMBER(_xlpm.r)), ROW(_xlpm.r)),
  INDEX(H:H, _xlpm.p)
)</f>
        <v>1152</v>
      </c>
      <c r="Y12" s="23" cm="1">
        <f t="array" ref="Y12">_xlfn.LET(
  _xlpm.r, I51:I1006,
  _xlpm.p, LOOKUP(2, 1/(ISNUMBER(_xlpm.r)), ROW(_xlpm.r)),
  INDEX(I:I, _xlpm.p)
)</f>
        <v>1150</v>
      </c>
      <c r="Z12" s="23">
        <f>トリガー発注!Z12</f>
        <v>15</v>
      </c>
      <c r="AA12" s="23">
        <f>トリガー発注!AA12</f>
        <v>10</v>
      </c>
    </row>
    <row r="13" spans="2:27">
      <c r="B13" s="35" t="s">
        <v>130</v>
      </c>
      <c r="C13" s="46" t="str">
        <f>_xll.RssMarket($K$16,"現在値")</f>
        <v/>
      </c>
      <c r="D13" s="45" t="str">
        <f>_xll.RssMarket($K$16,"現在値時刻")</f>
        <v/>
      </c>
      <c r="E13" s="35" t="s">
        <v>129</v>
      </c>
      <c r="F13" s="44" t="str">
        <f>_xll.RssMarket($K$16,E13)</f>
        <v/>
      </c>
      <c r="G13" s="35" t="s">
        <v>128</v>
      </c>
      <c r="H13" s="101" t="str">
        <f>_xll.RssMarket($K$16,"出来高加重平均")</f>
        <v/>
      </c>
    </row>
    <row r="14" spans="2:27">
      <c r="B14" s="35" t="s">
        <v>127</v>
      </c>
      <c r="C14" s="46" t="str">
        <f>_xll.RssMarket($K$16,"最良売気配値")</f>
        <v/>
      </c>
      <c r="D14" s="45" t="str">
        <f>_xll.RssMarket($K$16,"最良売気配時刻")</f>
        <v/>
      </c>
      <c r="E14" s="35" t="s">
        <v>126</v>
      </c>
      <c r="F14" s="98" t="e">
        <f>_xll.RssMarket($K$16,E14)/100</f>
        <v>#VALUE!</v>
      </c>
      <c r="G14" s="22" t="s">
        <v>223</v>
      </c>
      <c r="H14" s="99" t="str">
        <f>_xll.RssMarket($K$16,"時価総額")</f>
        <v/>
      </c>
      <c r="R14" s="59" t="s">
        <v>125</v>
      </c>
      <c r="S14" s="58"/>
      <c r="T14" s="58"/>
      <c r="U14" s="57"/>
    </row>
    <row r="15" spans="2:27" ht="16.5" thickBot="1">
      <c r="B15" s="35" t="s">
        <v>124</v>
      </c>
      <c r="C15" s="46" t="str">
        <f>_xll.RssMarket($K$16,"最良買気配値")</f>
        <v/>
      </c>
      <c r="D15" s="45" t="str">
        <f>_xll.RssMarket($K$16,"最良買気配時刻")</f>
        <v/>
      </c>
      <c r="E15" s="35" t="s">
        <v>123</v>
      </c>
      <c r="F15" s="99" t="str">
        <f>_xll.RssMarket($K$16,E15)</f>
        <v/>
      </c>
      <c r="G15" s="22" t="s">
        <v>122</v>
      </c>
      <c r="H15" s="100" t="str">
        <f>_xll.RssMarket($K$16,G15)</f>
        <v/>
      </c>
      <c r="K15" s="112" t="s">
        <v>121</v>
      </c>
      <c r="L15" s="112"/>
      <c r="R15" s="56" t="s">
        <v>120</v>
      </c>
      <c r="S15" s="55">
        <v>1</v>
      </c>
      <c r="T15" s="54" t="s">
        <v>119</v>
      </c>
      <c r="U15" s="53"/>
      <c r="V15" s="23" t="str">
        <f>IF(OR(S15=1,S15=2),"OK","入力値NG")</f>
        <v>OK</v>
      </c>
    </row>
    <row r="16" spans="2:27" ht="16.5" thickBot="1">
      <c r="B16" s="35" t="s">
        <v>118</v>
      </c>
      <c r="C16" s="46" t="str">
        <f>_xll.RssMarket($K$16,"始値")</f>
        <v/>
      </c>
      <c r="D16" s="45" t="str">
        <f>_xll.RssMarket($K$16,"始値時刻")</f>
        <v/>
      </c>
      <c r="E16" s="35" t="s">
        <v>117</v>
      </c>
      <c r="F16" s="44" t="str">
        <f>_xll.RssMarket($K$16,E16)</f>
        <v/>
      </c>
      <c r="G16" s="22" t="s">
        <v>116</v>
      </c>
      <c r="H16" s="100" t="str">
        <f>_xll.RssMarket($K$16,G16)</f>
        <v/>
      </c>
      <c r="K16" s="113">
        <f>トリガー発注!K16</f>
        <v>0</v>
      </c>
      <c r="L16" s="113"/>
      <c r="R16" s="52" t="s">
        <v>115</v>
      </c>
      <c r="S16" s="51">
        <v>1</v>
      </c>
      <c r="T16" s="23" t="s">
        <v>264</v>
      </c>
      <c r="U16" s="50"/>
      <c r="V16" s="23" t="str">
        <f>IF(ISNUMBER(S16),"OK","入力値NG")</f>
        <v>OK</v>
      </c>
    </row>
    <row r="17" spans="2:21">
      <c r="B17" s="35" t="s">
        <v>114</v>
      </c>
      <c r="C17" s="46" t="str">
        <f>_xll.RssMarket($K$16,"高値")</f>
        <v/>
      </c>
      <c r="D17" s="45" t="str">
        <f>_xll.RssMarket($K$16,"高値時刻")</f>
        <v/>
      </c>
      <c r="E17" s="35" t="s">
        <v>113</v>
      </c>
      <c r="F17" s="99" t="str">
        <f>_xll.RssMarket($K$16,E17)</f>
        <v/>
      </c>
      <c r="R17" s="49" t="str">
        <f>IF(OR(V15&lt;&gt;"OK",V16&lt;&gt;"OK"),"　トリガー条件を確認してください","　条件：移動平均の価格差が "&amp;S16&amp;IF(S15=1,"円以上となったら発注",IF(S15=2,"円以下となったら発注")))</f>
        <v>　条件：移動平均の価格差が 1円以上となったら発注</v>
      </c>
      <c r="S17" s="48"/>
      <c r="T17" s="48"/>
      <c r="U17" s="47"/>
    </row>
    <row r="18" spans="2:21">
      <c r="B18" s="35" t="s">
        <v>112</v>
      </c>
      <c r="C18" s="46" t="str">
        <f>_xll.RssMarket($K$16,"安値")</f>
        <v/>
      </c>
      <c r="D18" s="45" t="str">
        <f>_xll.RssMarket($K$16,"安値時刻")</f>
        <v/>
      </c>
      <c r="E18" s="35" t="s">
        <v>222</v>
      </c>
      <c r="F18" s="99" t="str">
        <f>_xll.RssMarket($K$16,"売買代金")</f>
        <v/>
      </c>
      <c r="H18" s="43"/>
      <c r="I18" s="23" t="s">
        <v>111</v>
      </c>
      <c r="R18" s="120" t="s">
        <v>110</v>
      </c>
      <c r="S18" s="121"/>
      <c r="T18" s="104" t="s">
        <v>38</v>
      </c>
      <c r="U18" s="104"/>
    </row>
    <row r="19" spans="2:21" ht="18.75" customHeight="1">
      <c r="H19" s="43"/>
      <c r="I19" s="112" t="s">
        <v>109</v>
      </c>
      <c r="J19" s="112"/>
      <c r="K19" s="112"/>
      <c r="L19" s="112"/>
      <c r="R19" s="42">
        <v>0</v>
      </c>
      <c r="S19" s="22" t="s">
        <v>108</v>
      </c>
      <c r="T19" s="39" t="str">
        <f>IF(
  AND(R20=1, AND(V15="OK", V16="OK")),
  IF(
    S15=1,
      IF(
        OR(
          V12 &lt; S12,
          X12 - V12 &gt;= Z12,
          O47 - V12 &gt;= AA12
        ),
        1,
        0
      ),
      IF(
        S15=2,
        IF(
          OR(
            V12 &gt; S12,
            V12 - Y12 &gt;= Z12,
            V12 - O47 &gt;= AA12
          ),
          1,
          0
        ),
        0
      )
  ),
  "-"
)</f>
        <v>-</v>
      </c>
      <c r="U19" s="97" t="str">
        <f>IF(ISBLANK(T19),"",IF(OR(T19=0,T19=FALSE),"待機中",IF(OR(T19=1,T19=TRUE),"発注",IF(T19="-","未監視"))))</f>
        <v>未監視</v>
      </c>
    </row>
    <row r="20" spans="2:21" ht="18.75" customHeight="1">
      <c r="G20" s="22" t="s">
        <v>61</v>
      </c>
      <c r="H20" s="22" t="s">
        <v>107</v>
      </c>
      <c r="I20" s="122" t="s">
        <v>106</v>
      </c>
      <c r="J20" s="122"/>
      <c r="K20" s="124" t="s">
        <v>105</v>
      </c>
      <c r="L20" s="124"/>
      <c r="N20" s="27" t="s">
        <v>104</v>
      </c>
      <c r="O20" s="41" t="e" cm="1">
        <f t="array" ref="O20">_xll.RssModifyOrder(O22,T19,O50,O28,O31,O32,O33,O34,O35,O37,O38,O39,O40,O42,O43,O44,O45)</f>
        <v>#VALUE!</v>
      </c>
      <c r="P20" s="96" t="e">
        <f>IF(O26="","注文種類を選んでください",RIGHT(O20,LEN(O20)-253))</f>
        <v>#VALUE!</v>
      </c>
      <c r="Q20" s="23" t="e">
        <f ca="1">IF(O26="","-",IF(O26=0,_xll.RssStockOrder(O22,U19,O23,O27,O28,O29,O31,O32,O33,O34,O35,O36,O37,O38,O39,O40,O41,O43,O44,O45),IF(O26=1,_xll.RssMarginCloseOrder(O50,U19,O23,O27,O28,O29,O30,O31,O32,O33,O34,O35,O36,O46,O47,O48,O37,O38,O39,O40),"注文種類を選んでください")))</f>
        <v>#VALUE!</v>
      </c>
      <c r="R20" s="23">
        <f>IF(N(建玉一覧!H3)&gt;0, 1, 0)</f>
        <v>0</v>
      </c>
      <c r="S20" s="23" t="s">
        <v>291</v>
      </c>
    </row>
    <row r="21" spans="2:21">
      <c r="G21" s="79" t="s">
        <v>290</v>
      </c>
      <c r="H21" s="79">
        <v>90</v>
      </c>
      <c r="I21" s="123">
        <v>5</v>
      </c>
      <c r="J21" s="123"/>
      <c r="K21" s="123">
        <v>25</v>
      </c>
      <c r="L21" s="123"/>
      <c r="N21" s="38" t="s">
        <v>98</v>
      </c>
      <c r="O21" s="40" t="s">
        <v>103</v>
      </c>
      <c r="P21" s="36" t="s">
        <v>96</v>
      </c>
      <c r="Q21" s="119" t="s">
        <v>102</v>
      </c>
      <c r="R21" s="106"/>
      <c r="S21" s="106"/>
      <c r="T21" s="106"/>
      <c r="U21" s="106"/>
    </row>
    <row r="22" spans="2:21">
      <c r="N22" s="34" t="s">
        <v>101</v>
      </c>
      <c r="O22" s="39">
        <f>トリガー発注!O22+1</f>
        <v>1</v>
      </c>
      <c r="P22" s="20" t="s">
        <v>65</v>
      </c>
      <c r="Q22" s="128" t="s">
        <v>100</v>
      </c>
      <c r="R22" s="105"/>
      <c r="S22" s="105"/>
      <c r="T22" s="105"/>
      <c r="U22" s="105"/>
    </row>
    <row r="23" spans="2:21">
      <c r="N23" s="34" t="s">
        <v>29</v>
      </c>
      <c r="O23" s="39">
        <f>K16</f>
        <v>0</v>
      </c>
      <c r="P23" s="20" t="str">
        <f>_xll.RssMarket(O23,"銘柄名称")</f>
        <v/>
      </c>
      <c r="Q23" s="114" t="s">
        <v>99</v>
      </c>
      <c r="R23" s="115"/>
      <c r="S23" s="115"/>
      <c r="T23" s="115"/>
      <c r="U23" s="116"/>
    </row>
    <row r="25" spans="2:21">
      <c r="N25" s="38" t="s">
        <v>98</v>
      </c>
      <c r="O25" s="37" t="s">
        <v>97</v>
      </c>
      <c r="P25" s="36" t="s">
        <v>96</v>
      </c>
      <c r="Q25" s="117" t="s">
        <v>95</v>
      </c>
      <c r="R25" s="118"/>
      <c r="S25" s="118"/>
      <c r="T25" s="118"/>
      <c r="U25" s="119"/>
    </row>
    <row r="26" spans="2:21">
      <c r="N26" s="22" t="s">
        <v>94</v>
      </c>
      <c r="O26" s="88">
        <v>1</v>
      </c>
      <c r="P26" s="20" t="str">
        <f>IF(ISBLANK(O26),"",IF(O26=0,"現物",IF(O26=1,"信用","エラー")))</f>
        <v>信用</v>
      </c>
      <c r="Q26" s="125" t="s">
        <v>93</v>
      </c>
      <c r="R26" s="125"/>
      <c r="S26" s="125"/>
      <c r="T26" s="125"/>
      <c r="U26" s="125"/>
    </row>
    <row r="27" spans="2:21">
      <c r="N27" s="34" t="s">
        <v>49</v>
      </c>
      <c r="O27" s="88">
        <f>IF(トリガー発注!O27=3,1,3)</f>
        <v>1</v>
      </c>
      <c r="P27" s="20" t="str">
        <f>IF(ISBLANK(O27),"",IF(O27=1,"売り注文",IF(O27=3,"買い注文","")))</f>
        <v>売り注文</v>
      </c>
      <c r="Q27" s="114" t="s">
        <v>92</v>
      </c>
      <c r="R27" s="115"/>
      <c r="S27" s="115"/>
      <c r="T27" s="115"/>
      <c r="U27" s="116"/>
    </row>
    <row r="28" spans="2:21">
      <c r="N28" s="34" t="s">
        <v>91</v>
      </c>
      <c r="O28" s="88">
        <v>0</v>
      </c>
      <c r="P28" s="20" t="str">
        <f>IF(ISBLANK(O28),"",IF(O28=0,"通常注文",IF(O28=1,"逆指値付通常注文",IF(O28=2,"逆指値注文"))))</f>
        <v>通常注文</v>
      </c>
      <c r="Q28" s="114" t="s">
        <v>90</v>
      </c>
      <c r="R28" s="115"/>
      <c r="S28" s="115"/>
      <c r="T28" s="115"/>
      <c r="U28" s="116"/>
    </row>
    <row r="29" spans="2:21">
      <c r="N29" s="34" t="s">
        <v>89</v>
      </c>
      <c r="O29" s="88">
        <v>1</v>
      </c>
      <c r="P29" s="20" t="str">
        <f>IF(ISBLANK(O29),"",IF(O29=0,"通常注文",IF(O29=1,"SOR注文","")))</f>
        <v>SOR注文</v>
      </c>
      <c r="Q29" s="114" t="s">
        <v>88</v>
      </c>
      <c r="R29" s="115"/>
      <c r="S29" s="115"/>
      <c r="T29" s="115"/>
      <c r="U29" s="116"/>
    </row>
    <row r="30" spans="2:21">
      <c r="N30" s="35" t="str">
        <f>IF(O26=0,"",IF(O26=1,"信用区分"))</f>
        <v>信用区分</v>
      </c>
      <c r="O30" s="88">
        <v>4</v>
      </c>
      <c r="P30" s="45" t="str">
        <f>IF(ISBLANK(O30),"",IF(O30=1,"制度（6ヶ月）",IF(O30=2,"一般（無制限）",IF(O30=3,"一般（14日）",IF(O30=4,"一般（いちにち）","")))))</f>
        <v>一般（いちにち）</v>
      </c>
      <c r="Q30" s="114" t="str">
        <f>IF(O26=0,"",IF(O26=1,"1：制度信用（6ヶ月）、2：一般信用（無制限）、3：一般信用（14日）、4：一般信用（いちにち）"))</f>
        <v>1：制度信用（6ヶ月）、2：一般信用（無制限）、3：一般信用（14日）、4：一般信用（いちにち）</v>
      </c>
      <c r="R30" s="115"/>
      <c r="S30" s="115"/>
      <c r="T30" s="115"/>
      <c r="U30" s="116"/>
    </row>
    <row r="31" spans="2:21">
      <c r="N31" s="34" t="s">
        <v>6</v>
      </c>
      <c r="O31" s="33">
        <f>トリガー発注!O31</f>
        <v>0</v>
      </c>
      <c r="P31" s="20" t="s">
        <v>65</v>
      </c>
      <c r="Q31" s="114" t="s">
        <v>87</v>
      </c>
      <c r="R31" s="115"/>
      <c r="S31" s="115"/>
      <c r="T31" s="115"/>
      <c r="U31" s="116"/>
    </row>
    <row r="32" spans="2:21" ht="15.75" customHeight="1">
      <c r="N32" s="34" t="s">
        <v>86</v>
      </c>
      <c r="O32" s="88">
        <v>1</v>
      </c>
      <c r="P32" s="20" t="str">
        <f>IF(ISBLANK(O32),"",IF(O32=0,"成行",IF(O32=1,"指値","")))</f>
        <v>指値</v>
      </c>
      <c r="Q32" s="126" t="s">
        <v>217</v>
      </c>
      <c r="R32" s="127"/>
      <c r="S32" s="127"/>
      <c r="T32" s="127"/>
      <c r="U32" s="128"/>
    </row>
    <row r="33" spans="14:21">
      <c r="N33" s="34" t="s">
        <v>85</v>
      </c>
      <c r="O33" s="33">
        <f>IF(S15=1,V12-20,IF(
       S15=2,V12+20,"-"))</f>
        <v>1132</v>
      </c>
      <c r="P33" s="20" t="s">
        <v>65</v>
      </c>
      <c r="Q33" s="114" t="s">
        <v>84</v>
      </c>
      <c r="R33" s="115"/>
      <c r="S33" s="115"/>
      <c r="T33" s="115"/>
      <c r="U33" s="116"/>
    </row>
    <row r="34" spans="14:21">
      <c r="N34" s="34" t="s">
        <v>83</v>
      </c>
      <c r="O34" s="88">
        <v>1</v>
      </c>
      <c r="P34" s="20" t="str">
        <f>IF(ISBLANK(O34),"",IF(O34=1,"本日中",IF(O34=3,"寄付",IF(O34=4,"引け",IF(O34=5,"期間指定",IF(O34=6,"大引け不成",IF(O34=7,"不成","")))))))</f>
        <v>本日中</v>
      </c>
      <c r="Q34" s="114" t="s">
        <v>207</v>
      </c>
      <c r="R34" s="115"/>
      <c r="S34" s="115"/>
      <c r="T34" s="115"/>
      <c r="U34" s="116"/>
    </row>
    <row r="35" spans="14:21">
      <c r="N35" s="34" t="s">
        <v>82</v>
      </c>
      <c r="O35" s="33"/>
      <c r="P35" s="20" t="s">
        <v>65</v>
      </c>
      <c r="Q35" s="114" t="s">
        <v>81</v>
      </c>
      <c r="R35" s="115"/>
      <c r="S35" s="115"/>
      <c r="T35" s="115"/>
      <c r="U35" s="116"/>
    </row>
    <row r="36" spans="14:21">
      <c r="N36" s="34" t="s">
        <v>21</v>
      </c>
      <c r="O36" s="88">
        <v>0</v>
      </c>
      <c r="P36" s="20" t="str">
        <f>IF(ISBLANK(O36),"",IF(O36=0,"特定",IF(O36=1,"一般",IF(O36=2,"NISA",""))))</f>
        <v>特定</v>
      </c>
      <c r="Q36" s="114" t="s">
        <v>218</v>
      </c>
      <c r="R36" s="115"/>
      <c r="S36" s="115"/>
      <c r="T36" s="115"/>
      <c r="U36" s="116"/>
    </row>
    <row r="37" spans="14:21">
      <c r="N37" s="34" t="s">
        <v>80</v>
      </c>
      <c r="O37" s="33"/>
      <c r="P37" s="20" t="s">
        <v>65</v>
      </c>
      <c r="Q37" s="114" t="s">
        <v>79</v>
      </c>
      <c r="R37" s="115"/>
      <c r="S37" s="115"/>
      <c r="T37" s="115"/>
      <c r="U37" s="116"/>
    </row>
    <row r="38" spans="14:21">
      <c r="N38" s="34" t="s">
        <v>78</v>
      </c>
      <c r="O38" s="33"/>
      <c r="P38" s="20" t="str">
        <f>IF(AND(O28&lt;&gt;1,O28&lt;&gt;2),"ー",IF(ISBLANK(O38),"",IF(O38=1,"以上",IF(O38=2,"以下",""))))</f>
        <v>ー</v>
      </c>
      <c r="Q38" s="114" t="s">
        <v>77</v>
      </c>
      <c r="R38" s="115"/>
      <c r="S38" s="115"/>
      <c r="T38" s="115"/>
      <c r="U38" s="116"/>
    </row>
    <row r="39" spans="14:21">
      <c r="N39" s="34" t="s">
        <v>76</v>
      </c>
      <c r="O39" s="33"/>
      <c r="P39" s="20" t="str">
        <f>IF(AND(O28&lt;&gt;1,O28&lt;&gt;2),"ー",IF(ISBLANK(O39),"",IF(O39=0,"成行",IF(O39=1,"指値",""))))</f>
        <v>ー</v>
      </c>
      <c r="Q39" s="126" t="s">
        <v>75</v>
      </c>
      <c r="R39" s="127"/>
      <c r="S39" s="127"/>
      <c r="T39" s="127"/>
      <c r="U39" s="128"/>
    </row>
    <row r="40" spans="14:21">
      <c r="N40" s="34" t="s">
        <v>74</v>
      </c>
      <c r="O40" s="33"/>
      <c r="P40" s="20" t="s">
        <v>65</v>
      </c>
      <c r="Q40" s="114" t="s">
        <v>72</v>
      </c>
      <c r="R40" s="115"/>
      <c r="S40" s="115"/>
      <c r="T40" s="115"/>
      <c r="U40" s="116"/>
    </row>
    <row r="41" spans="14:21">
      <c r="N41" s="34" t="s">
        <v>71</v>
      </c>
      <c r="O41" s="33">
        <v>0</v>
      </c>
      <c r="P41" s="20" t="str">
        <f>IF(ISBLANK(O41),"予約しない",IF(O41=0,"予約しない",IF(O41=1,"予約する")))</f>
        <v>予約しない</v>
      </c>
      <c r="Q41" s="114" t="s">
        <v>70</v>
      </c>
      <c r="R41" s="115"/>
      <c r="S41" s="115"/>
      <c r="T41" s="115"/>
      <c r="U41" s="116"/>
    </row>
    <row r="42" spans="14:21">
      <c r="N42" s="35" t="str">
        <f>IF(O26=0,"",IF(O26=1,"セット注文価格区分"))</f>
        <v>セット注文価格区分</v>
      </c>
      <c r="O42" s="88"/>
      <c r="P42" s="45" t="str">
        <f>IF(OR(ISBLANK(O42),O41&lt;&gt;1),"",IF(O42=1,"指値",IF(O42=2,"値幅指定","")))</f>
        <v/>
      </c>
      <c r="Q42" s="114" t="str">
        <f>IF(O26=0,"",IF(O26=1,"1：指値  2：値幅指定　(セット注文区分が「1：セット注文(予約する)」の場合、必須。)"))</f>
        <v>1：指値  2：値幅指定　(セット注文区分が「1：セット注文(予約する)」の場合、必須。)</v>
      </c>
      <c r="R42" s="115"/>
      <c r="S42" s="115"/>
      <c r="T42" s="115"/>
      <c r="U42" s="116"/>
    </row>
    <row r="43" spans="14:21">
      <c r="N43" s="34" t="s">
        <v>69</v>
      </c>
      <c r="O43" s="33"/>
      <c r="P43" s="20" t="s">
        <v>65</v>
      </c>
      <c r="Q43" s="114" t="s">
        <v>68</v>
      </c>
      <c r="R43" s="115"/>
      <c r="S43" s="115"/>
      <c r="T43" s="115"/>
      <c r="U43" s="116"/>
    </row>
    <row r="44" spans="14:21">
      <c r="N44" s="34" t="s">
        <v>67</v>
      </c>
      <c r="O44" s="89"/>
      <c r="P44" s="20" t="str">
        <f>IF(O41&lt;&gt;1,"ー",IF(ISBLANK(O44),"",IF(O44=1,"本日中",IF(O44=5,"期間指定",IF(O44=6,"大引け不成",IF(O44=7,"不成",""))))))</f>
        <v>ー</v>
      </c>
      <c r="Q44" s="114" t="s">
        <v>206</v>
      </c>
      <c r="R44" s="115"/>
      <c r="S44" s="115"/>
      <c r="T44" s="115"/>
      <c r="U44" s="116"/>
    </row>
    <row r="45" spans="14:21">
      <c r="N45" s="34" t="s">
        <v>66</v>
      </c>
      <c r="O45" s="33"/>
      <c r="P45" s="20" t="s">
        <v>65</v>
      </c>
      <c r="Q45" s="116" t="s">
        <v>64</v>
      </c>
      <c r="R45" s="125"/>
      <c r="S45" s="125"/>
      <c r="T45" s="125"/>
      <c r="U45" s="125"/>
    </row>
    <row r="46" spans="14:21">
      <c r="N46" s="23" t="s">
        <v>285</v>
      </c>
      <c r="O46" s="23" t="e" cm="1">
        <f t="array" ref="O46">_xlfn.LET(
  _xlpm.r, 建玉一覧!K3:K1006,
  _xlpm.p, LOOKUP(2, 1/(ISNUMBER(_xlpm.r)), ROW(_xlpm.r)),
  INDEX(建玉一覧!K:K, _xlpm.p)
)</f>
        <v>#N/A</v>
      </c>
    </row>
    <row r="47" spans="14:21">
      <c r="N47" s="23" t="s">
        <v>286</v>
      </c>
      <c r="O47" s="23" t="e" cm="1">
        <f t="array" ref="O47">_xlfn.LET(
  _xlpm.r, 建玉一覧!J3:J1006,
  _xlpm.p, LOOKUP(2, 1/(ISNUMBER(_xlpm.r)), ROW(_xlpm.r)),
  INDEX(建玉一覧!J:J, _xlpm.p)
)</f>
        <v>#N/A</v>
      </c>
    </row>
    <row r="48" spans="14:21">
      <c r="N48" s="23" t="s">
        <v>287</v>
      </c>
      <c r="O48" s="23" t="e" cm="1">
        <f t="array" ref="O48">_xlfn.LET(
  _xlpm.s, SUBSTITUTE(建玉一覧!D3:D1006,"'",""),
  _xlpm.m, LOOKUP(2, 1/ISNUMBER(MATCH(_xlpm.s, {"東証","JAX"}, 0)), _xlpm.s),
  IF(_xlpm.m="東証",1, IF(_xlpm.m="JAX",5, ""))
)</f>
        <v>#N/A</v>
      </c>
    </row>
    <row r="49" spans="2:15">
      <c r="B49" s="23" t="str">
        <f>_xll.RssChart(B50:J50,$K$16,G21,H21)</f>
        <v>=@RssChart(B50:J50,$K$16,G21,H21) =&gt; マーケットスピード II にログインして「接続中」の状態に変更してから利用してください。</v>
      </c>
      <c r="K49" s="23" t="str">
        <f>_xll.RssTrendSMA(K50:L50,$K$16,G21,H21,I21,K21,,,)</f>
        <v>=@RssTrendSMA(K50:L50,$K$16,G21,H21,I21,K21,,,) =&gt; マーケットスピード II にログインして「接続中」の状態に変更してから利用してください。</v>
      </c>
    </row>
    <row r="50" spans="2:15">
      <c r="B50" s="22" t="s">
        <v>63</v>
      </c>
      <c r="C50" s="22" t="s">
        <v>62</v>
      </c>
      <c r="D50" s="22" t="s">
        <v>209</v>
      </c>
      <c r="E50" s="22" t="s">
        <v>181</v>
      </c>
      <c r="F50" s="22" t="s">
        <v>60</v>
      </c>
      <c r="G50" s="22" t="s">
        <v>59</v>
      </c>
      <c r="H50" s="22" t="s">
        <v>58</v>
      </c>
      <c r="I50" s="22" t="s">
        <v>57</v>
      </c>
      <c r="J50" s="22" t="s">
        <v>56</v>
      </c>
      <c r="K50" s="22" t="s">
        <v>55</v>
      </c>
      <c r="L50" s="22" t="s">
        <v>54</v>
      </c>
      <c r="N50" s="23" t="s">
        <v>294</v>
      </c>
      <c r="O50" s="23" t="e" cm="1">
        <f t="array" aca="1" ref="O50" ca="1">_xlfn.LET(
  _xlpm.dummy, NOW()*0,
  _xlpm.r, 発注ID一覧!E7:E1006,
  _xlpm.p, LOOKUP(2, 1/(ISNUMBER(_xlpm.r)), ROW(_xlpm.r)),
  INDEX(発注ID一覧!E:E, _xlpm.p)
)</f>
        <v>#N/A</v>
      </c>
    </row>
    <row r="51" spans="2:15">
      <c r="B51" s="31" t="s">
        <v>261</v>
      </c>
      <c r="C51" s="31" t="s">
        <v>227</v>
      </c>
      <c r="D51" s="31" t="s">
        <v>236</v>
      </c>
      <c r="E51" s="29" t="s">
        <v>237</v>
      </c>
      <c r="F51" s="30">
        <v>578900</v>
      </c>
      <c r="G51" s="30">
        <v>1187</v>
      </c>
      <c r="H51" s="30">
        <v>1193</v>
      </c>
      <c r="I51" s="30">
        <v>1178</v>
      </c>
      <c r="J51" s="30">
        <v>1189</v>
      </c>
      <c r="K51" s="32">
        <v>1182.8</v>
      </c>
      <c r="L51" s="32">
        <v>1190.8</v>
      </c>
    </row>
    <row r="52" spans="2:15">
      <c r="B52" s="22"/>
      <c r="C52" s="22"/>
      <c r="D52" s="22" t="s">
        <v>236</v>
      </c>
      <c r="E52" s="29" t="s">
        <v>238</v>
      </c>
      <c r="F52" s="30">
        <v>226700</v>
      </c>
      <c r="G52" s="30">
        <v>1190</v>
      </c>
      <c r="H52" s="30">
        <v>1191</v>
      </c>
      <c r="I52" s="30">
        <v>1181</v>
      </c>
      <c r="J52" s="30">
        <v>1188</v>
      </c>
      <c r="K52" s="32">
        <v>1182.9000000000001</v>
      </c>
      <c r="L52" s="32">
        <v>1190.5999999999999</v>
      </c>
    </row>
    <row r="53" spans="2:15">
      <c r="B53" s="22"/>
      <c r="C53" s="22"/>
      <c r="D53" s="22" t="s">
        <v>236</v>
      </c>
      <c r="E53" s="29" t="s">
        <v>239</v>
      </c>
      <c r="F53" s="30">
        <v>174200</v>
      </c>
      <c r="G53" s="30">
        <v>1188</v>
      </c>
      <c r="H53" s="30">
        <v>1190</v>
      </c>
      <c r="I53" s="30">
        <v>1181</v>
      </c>
      <c r="J53" s="30">
        <v>1188</v>
      </c>
      <c r="K53" s="32">
        <v>1183.2</v>
      </c>
      <c r="L53" s="32">
        <v>1190.4000000000001</v>
      </c>
    </row>
    <row r="54" spans="2:15">
      <c r="B54" s="22"/>
      <c r="C54" s="22"/>
      <c r="D54" s="22" t="s">
        <v>236</v>
      </c>
      <c r="E54" s="29" t="s">
        <v>240</v>
      </c>
      <c r="F54" s="30">
        <v>135900</v>
      </c>
      <c r="G54" s="30">
        <v>1188</v>
      </c>
      <c r="H54" s="30">
        <v>1194</v>
      </c>
      <c r="I54" s="30">
        <v>1186</v>
      </c>
      <c r="J54" s="30">
        <v>1193</v>
      </c>
      <c r="K54" s="32">
        <v>1184</v>
      </c>
      <c r="L54" s="32">
        <v>1190.4000000000001</v>
      </c>
    </row>
    <row r="55" spans="2:15">
      <c r="B55" s="22"/>
      <c r="C55" s="22"/>
      <c r="D55" s="22" t="s">
        <v>236</v>
      </c>
      <c r="E55" s="29" t="s">
        <v>241</v>
      </c>
      <c r="F55" s="30">
        <v>87600</v>
      </c>
      <c r="G55" s="30">
        <v>1193</v>
      </c>
      <c r="H55" s="30">
        <v>1194</v>
      </c>
      <c r="I55" s="30">
        <v>1189</v>
      </c>
      <c r="J55" s="30">
        <v>1191</v>
      </c>
      <c r="K55" s="32">
        <v>1185.2</v>
      </c>
      <c r="L55" s="32">
        <v>1190</v>
      </c>
    </row>
    <row r="56" spans="2:15">
      <c r="B56" s="22"/>
      <c r="C56" s="22"/>
      <c r="D56" s="22" t="s">
        <v>236</v>
      </c>
      <c r="E56" s="29" t="s">
        <v>242</v>
      </c>
      <c r="F56" s="30">
        <v>109700</v>
      </c>
      <c r="G56" s="30">
        <v>1191</v>
      </c>
      <c r="H56" s="30">
        <v>1192</v>
      </c>
      <c r="I56" s="30">
        <v>1188</v>
      </c>
      <c r="J56" s="30">
        <v>1190</v>
      </c>
      <c r="K56" s="32">
        <v>1186.3</v>
      </c>
      <c r="L56" s="32">
        <v>1189.8</v>
      </c>
    </row>
    <row r="57" spans="2:15">
      <c r="B57" s="22"/>
      <c r="C57" s="22"/>
      <c r="D57" s="22" t="s">
        <v>236</v>
      </c>
      <c r="E57" s="29" t="s">
        <v>243</v>
      </c>
      <c r="F57" s="30">
        <v>40900</v>
      </c>
      <c r="G57" s="30">
        <v>1191</v>
      </c>
      <c r="H57" s="30">
        <v>1192</v>
      </c>
      <c r="I57" s="30">
        <v>1189</v>
      </c>
      <c r="J57" s="30">
        <v>1192</v>
      </c>
      <c r="K57" s="32">
        <v>1187.5999999999999</v>
      </c>
      <c r="L57" s="32">
        <v>1189.4000000000001</v>
      </c>
    </row>
    <row r="58" spans="2:15">
      <c r="B58" s="22"/>
      <c r="C58" s="22"/>
      <c r="D58" s="22" t="s">
        <v>236</v>
      </c>
      <c r="E58" s="29" t="s">
        <v>244</v>
      </c>
      <c r="F58" s="30">
        <v>50200</v>
      </c>
      <c r="G58" s="30">
        <v>1192</v>
      </c>
      <c r="H58" s="30">
        <v>1192</v>
      </c>
      <c r="I58" s="30">
        <v>1190</v>
      </c>
      <c r="J58" s="30">
        <v>1190</v>
      </c>
      <c r="K58" s="32">
        <v>1188.3</v>
      </c>
      <c r="L58" s="32">
        <v>1189</v>
      </c>
    </row>
    <row r="59" spans="2:15">
      <c r="B59" s="22"/>
      <c r="C59" s="22"/>
      <c r="D59" s="22" t="s">
        <v>236</v>
      </c>
      <c r="E59" s="29" t="s">
        <v>245</v>
      </c>
      <c r="F59" s="30">
        <v>124800</v>
      </c>
      <c r="G59" s="30">
        <v>1190</v>
      </c>
      <c r="H59" s="30">
        <v>1191</v>
      </c>
      <c r="I59" s="30">
        <v>1186</v>
      </c>
      <c r="J59" s="30">
        <v>1191</v>
      </c>
      <c r="K59" s="32">
        <v>1189.4000000000001</v>
      </c>
      <c r="L59" s="32">
        <v>1188.5999999999999</v>
      </c>
    </row>
    <row r="60" spans="2:15">
      <c r="B60" s="22"/>
      <c r="C60" s="22"/>
      <c r="D60" s="22" t="s">
        <v>236</v>
      </c>
      <c r="E60" s="29" t="s">
        <v>246</v>
      </c>
      <c r="F60" s="30">
        <v>68500</v>
      </c>
      <c r="G60" s="30">
        <v>1191</v>
      </c>
      <c r="H60" s="30">
        <v>1192</v>
      </c>
      <c r="I60" s="30">
        <v>1190</v>
      </c>
      <c r="J60" s="30">
        <v>1191</v>
      </c>
      <c r="K60" s="32">
        <v>1190.3</v>
      </c>
      <c r="L60" s="32">
        <v>1188.5999999999999</v>
      </c>
    </row>
    <row r="61" spans="2:15">
      <c r="B61" s="22"/>
      <c r="C61" s="22"/>
      <c r="D61" s="22" t="s">
        <v>236</v>
      </c>
      <c r="E61" s="29" t="s">
        <v>247</v>
      </c>
      <c r="F61" s="30">
        <v>47800</v>
      </c>
      <c r="G61" s="30">
        <v>1191</v>
      </c>
      <c r="H61" s="30">
        <v>1191</v>
      </c>
      <c r="I61" s="30">
        <v>1188</v>
      </c>
      <c r="J61" s="30">
        <v>1189</v>
      </c>
      <c r="K61" s="32">
        <v>1190.3</v>
      </c>
      <c r="L61" s="32">
        <v>1188.3</v>
      </c>
    </row>
    <row r="62" spans="2:15">
      <c r="B62" s="22"/>
      <c r="C62" s="22"/>
      <c r="D62" s="22" t="s">
        <v>236</v>
      </c>
      <c r="E62" s="29" t="s">
        <v>248</v>
      </c>
      <c r="F62" s="30">
        <v>112300</v>
      </c>
      <c r="G62" s="30">
        <v>1188</v>
      </c>
      <c r="H62" s="30">
        <v>1188</v>
      </c>
      <c r="I62" s="30">
        <v>1183</v>
      </c>
      <c r="J62" s="30">
        <v>1183</v>
      </c>
      <c r="K62" s="32">
        <v>1189.8</v>
      </c>
      <c r="L62" s="32">
        <v>1187.8</v>
      </c>
    </row>
    <row r="63" spans="2:15">
      <c r="B63" s="22"/>
      <c r="C63" s="22"/>
      <c r="D63" s="22" t="s">
        <v>236</v>
      </c>
      <c r="E63" s="29" t="s">
        <v>249</v>
      </c>
      <c r="F63" s="30">
        <v>94900</v>
      </c>
      <c r="G63" s="30">
        <v>1184</v>
      </c>
      <c r="H63" s="30">
        <v>1186</v>
      </c>
      <c r="I63" s="30">
        <v>1183</v>
      </c>
      <c r="J63" s="30">
        <v>1184</v>
      </c>
      <c r="K63" s="32">
        <v>1189.4000000000001</v>
      </c>
      <c r="L63" s="32">
        <v>1187.2</v>
      </c>
    </row>
    <row r="64" spans="2:15">
      <c r="B64" s="22"/>
      <c r="C64" s="22"/>
      <c r="D64" s="22" t="s">
        <v>236</v>
      </c>
      <c r="E64" s="29" t="s">
        <v>250</v>
      </c>
      <c r="F64" s="30">
        <v>63500</v>
      </c>
      <c r="G64" s="30">
        <v>1185</v>
      </c>
      <c r="H64" s="30">
        <v>1185</v>
      </c>
      <c r="I64" s="30">
        <v>1183</v>
      </c>
      <c r="J64" s="30">
        <v>1184</v>
      </c>
      <c r="K64" s="32">
        <v>1188.5</v>
      </c>
      <c r="L64" s="32">
        <v>1186.8</v>
      </c>
    </row>
    <row r="65" spans="2:12">
      <c r="B65" s="22"/>
      <c r="C65" s="22"/>
      <c r="D65" s="22" t="s">
        <v>236</v>
      </c>
      <c r="E65" s="29" t="s">
        <v>251</v>
      </c>
      <c r="F65" s="30">
        <v>70500</v>
      </c>
      <c r="G65" s="30">
        <v>1184</v>
      </c>
      <c r="H65" s="30">
        <v>1185</v>
      </c>
      <c r="I65" s="30">
        <v>1182</v>
      </c>
      <c r="J65" s="30">
        <v>1183</v>
      </c>
      <c r="K65" s="32">
        <v>1187.7</v>
      </c>
      <c r="L65" s="32">
        <v>1186.2</v>
      </c>
    </row>
    <row r="66" spans="2:12">
      <c r="B66" s="22"/>
      <c r="C66" s="22"/>
      <c r="D66" s="22" t="s">
        <v>236</v>
      </c>
      <c r="E66" s="29" t="s">
        <v>252</v>
      </c>
      <c r="F66" s="30">
        <v>14100</v>
      </c>
      <c r="G66" s="30">
        <v>1182</v>
      </c>
      <c r="H66" s="30">
        <v>1182</v>
      </c>
      <c r="I66" s="30">
        <v>1182</v>
      </c>
      <c r="J66" s="30">
        <v>1182</v>
      </c>
      <c r="K66" s="32">
        <v>1186.9000000000001</v>
      </c>
      <c r="L66" s="32">
        <v>1185.9000000000001</v>
      </c>
    </row>
    <row r="67" spans="2:12">
      <c r="B67" s="22"/>
      <c r="C67" s="22"/>
      <c r="D67" s="22" t="s">
        <v>236</v>
      </c>
      <c r="E67" s="29" t="s">
        <v>253</v>
      </c>
      <c r="F67" s="30">
        <v>214600</v>
      </c>
      <c r="G67" s="30">
        <v>1180</v>
      </c>
      <c r="H67" s="30">
        <v>1181</v>
      </c>
      <c r="I67" s="30">
        <v>1178</v>
      </c>
      <c r="J67" s="30">
        <v>1180</v>
      </c>
      <c r="K67" s="32">
        <v>1185.7</v>
      </c>
      <c r="L67" s="32">
        <v>1185.5999999999999</v>
      </c>
    </row>
    <row r="68" spans="2:12">
      <c r="B68" s="22"/>
      <c r="C68" s="22"/>
      <c r="D68" s="22" t="s">
        <v>236</v>
      </c>
      <c r="E68" s="29" t="s">
        <v>225</v>
      </c>
      <c r="F68" s="30">
        <v>35300</v>
      </c>
      <c r="G68" s="30">
        <v>1180</v>
      </c>
      <c r="H68" s="30">
        <v>1182</v>
      </c>
      <c r="I68" s="30">
        <v>1180</v>
      </c>
      <c r="J68" s="30">
        <v>1182</v>
      </c>
      <c r="K68" s="32">
        <v>1184.9000000000001</v>
      </c>
      <c r="L68" s="32">
        <v>1185.5</v>
      </c>
    </row>
    <row r="69" spans="2:12">
      <c r="B69" s="22"/>
      <c r="C69" s="22"/>
      <c r="D69" s="22" t="s">
        <v>236</v>
      </c>
      <c r="E69" s="29" t="s">
        <v>254</v>
      </c>
      <c r="F69" s="30">
        <v>34900</v>
      </c>
      <c r="G69" s="30">
        <v>1182</v>
      </c>
      <c r="H69" s="30">
        <v>1184</v>
      </c>
      <c r="I69" s="30">
        <v>1181</v>
      </c>
      <c r="J69" s="30">
        <v>1184</v>
      </c>
      <c r="K69" s="32">
        <v>1184.2</v>
      </c>
      <c r="L69" s="32">
        <v>1185.4000000000001</v>
      </c>
    </row>
    <row r="70" spans="2:12">
      <c r="B70" s="22"/>
      <c r="C70" s="22"/>
      <c r="D70" s="22" t="s">
        <v>236</v>
      </c>
      <c r="E70" s="29" t="s">
        <v>255</v>
      </c>
      <c r="F70" s="30">
        <v>34900</v>
      </c>
      <c r="G70" s="30">
        <v>1184</v>
      </c>
      <c r="H70" s="30">
        <v>1184</v>
      </c>
      <c r="I70" s="30">
        <v>1182</v>
      </c>
      <c r="J70" s="30">
        <v>1183</v>
      </c>
      <c r="K70" s="32">
        <v>1183.4000000000001</v>
      </c>
      <c r="L70" s="32">
        <v>1185.5999999999999</v>
      </c>
    </row>
    <row r="71" spans="2:12">
      <c r="B71" s="22"/>
      <c r="C71" s="22"/>
      <c r="D71" s="22" t="s">
        <v>236</v>
      </c>
      <c r="E71" s="29" t="s">
        <v>256</v>
      </c>
      <c r="F71" s="30">
        <v>111300</v>
      </c>
      <c r="G71" s="30">
        <v>1183</v>
      </c>
      <c r="H71" s="30">
        <v>1183</v>
      </c>
      <c r="I71" s="30">
        <v>1178</v>
      </c>
      <c r="J71" s="30">
        <v>1181</v>
      </c>
      <c r="K71" s="32">
        <v>1182.5999999999999</v>
      </c>
      <c r="L71" s="32">
        <v>1185.7</v>
      </c>
    </row>
    <row r="72" spans="2:12">
      <c r="B72" s="22"/>
      <c r="C72" s="22"/>
      <c r="D72" s="22" t="s">
        <v>236</v>
      </c>
      <c r="E72" s="29" t="s">
        <v>257</v>
      </c>
      <c r="F72" s="30">
        <v>46300</v>
      </c>
      <c r="G72" s="30">
        <v>1182</v>
      </c>
      <c r="H72" s="30">
        <v>1182</v>
      </c>
      <c r="I72" s="30">
        <v>1180</v>
      </c>
      <c r="J72" s="30">
        <v>1181</v>
      </c>
      <c r="K72" s="32">
        <v>1182.4000000000001</v>
      </c>
      <c r="L72" s="32">
        <v>1185.8</v>
      </c>
    </row>
    <row r="73" spans="2:12">
      <c r="B73" s="22"/>
      <c r="C73" s="22"/>
      <c r="D73" s="22" t="s">
        <v>236</v>
      </c>
      <c r="E73" s="29" t="s">
        <v>258</v>
      </c>
      <c r="F73" s="30">
        <v>20100</v>
      </c>
      <c r="G73" s="30">
        <v>1181</v>
      </c>
      <c r="H73" s="30">
        <v>1183</v>
      </c>
      <c r="I73" s="30">
        <v>1181</v>
      </c>
      <c r="J73" s="30">
        <v>1182</v>
      </c>
      <c r="K73" s="32">
        <v>1182.2</v>
      </c>
      <c r="L73" s="32">
        <v>1185.7</v>
      </c>
    </row>
    <row r="74" spans="2:12">
      <c r="B74" s="22"/>
      <c r="C74" s="22"/>
      <c r="D74" s="22" t="s">
        <v>236</v>
      </c>
      <c r="E74" s="29" t="s">
        <v>259</v>
      </c>
      <c r="F74" s="30">
        <v>56400</v>
      </c>
      <c r="G74" s="30">
        <v>1181</v>
      </c>
      <c r="H74" s="30">
        <v>1182</v>
      </c>
      <c r="I74" s="30">
        <v>1179</v>
      </c>
      <c r="J74" s="30">
        <v>1179</v>
      </c>
      <c r="K74" s="32">
        <v>1181.7</v>
      </c>
      <c r="L74" s="32">
        <v>1185.7</v>
      </c>
    </row>
    <row r="75" spans="2:12">
      <c r="B75" s="22"/>
      <c r="C75" s="22"/>
      <c r="D75" s="22" t="s">
        <v>236</v>
      </c>
      <c r="E75" s="29" t="s">
        <v>228</v>
      </c>
      <c r="F75" s="30">
        <v>39200</v>
      </c>
      <c r="G75" s="30">
        <v>1178</v>
      </c>
      <c r="H75" s="30">
        <v>1180</v>
      </c>
      <c r="I75" s="30">
        <v>1178</v>
      </c>
      <c r="J75" s="30">
        <v>1179</v>
      </c>
      <c r="K75" s="32">
        <v>1181.3</v>
      </c>
      <c r="L75" s="32">
        <v>1185.5999999999999</v>
      </c>
    </row>
    <row r="76" spans="2:12">
      <c r="B76" s="22"/>
      <c r="C76" s="22"/>
      <c r="D76" s="22" t="s">
        <v>236</v>
      </c>
      <c r="E76" s="29" t="s">
        <v>229</v>
      </c>
      <c r="F76" s="30">
        <v>106400</v>
      </c>
      <c r="G76" s="30">
        <v>1180</v>
      </c>
      <c r="H76" s="30">
        <v>1180</v>
      </c>
      <c r="I76" s="30">
        <v>1176</v>
      </c>
      <c r="J76" s="30">
        <v>1176</v>
      </c>
      <c r="K76" s="32">
        <v>1180.7</v>
      </c>
      <c r="L76" s="32">
        <v>1185</v>
      </c>
    </row>
    <row r="77" spans="2:12">
      <c r="B77" s="22"/>
      <c r="C77" s="22"/>
      <c r="D77" s="22" t="s">
        <v>236</v>
      </c>
      <c r="E77" s="29" t="s">
        <v>230</v>
      </c>
      <c r="F77" s="30">
        <v>292300</v>
      </c>
      <c r="G77" s="30">
        <v>1177</v>
      </c>
      <c r="H77" s="30">
        <v>1177</v>
      </c>
      <c r="I77" s="30">
        <v>1171</v>
      </c>
      <c r="J77" s="30">
        <v>1172</v>
      </c>
      <c r="K77" s="32">
        <v>1179.9000000000001</v>
      </c>
      <c r="L77" s="32">
        <v>1184.4000000000001</v>
      </c>
    </row>
    <row r="78" spans="2:12">
      <c r="B78" s="22"/>
      <c r="C78" s="22"/>
      <c r="D78" s="22" t="s">
        <v>236</v>
      </c>
      <c r="E78" s="29" t="s">
        <v>231</v>
      </c>
      <c r="F78" s="30">
        <v>525400</v>
      </c>
      <c r="G78" s="30">
        <v>1172</v>
      </c>
      <c r="H78" s="30">
        <v>1175</v>
      </c>
      <c r="I78" s="30">
        <v>1167</v>
      </c>
      <c r="J78" s="30">
        <v>1170</v>
      </c>
      <c r="K78" s="32">
        <v>1178.7</v>
      </c>
      <c r="L78" s="32">
        <v>1183.7</v>
      </c>
    </row>
    <row r="79" spans="2:12">
      <c r="B79" s="22"/>
      <c r="C79" s="22"/>
      <c r="D79" s="22" t="s">
        <v>236</v>
      </c>
      <c r="E79" s="29" t="s">
        <v>232</v>
      </c>
      <c r="F79" s="30">
        <v>286400</v>
      </c>
      <c r="G79" s="30">
        <v>1169</v>
      </c>
      <c r="H79" s="30">
        <v>1172</v>
      </c>
      <c r="I79" s="30">
        <v>1169</v>
      </c>
      <c r="J79" s="30">
        <v>1172</v>
      </c>
      <c r="K79" s="32">
        <v>1177.5</v>
      </c>
      <c r="L79" s="32">
        <v>1182.8</v>
      </c>
    </row>
    <row r="80" spans="2:12">
      <c r="B80" s="22"/>
      <c r="C80" s="22"/>
      <c r="D80" s="22" t="s">
        <v>236</v>
      </c>
      <c r="E80" s="29" t="s">
        <v>233</v>
      </c>
      <c r="F80" s="30">
        <v>328200</v>
      </c>
      <c r="G80" s="30">
        <v>1171</v>
      </c>
      <c r="H80" s="30">
        <v>1171</v>
      </c>
      <c r="I80" s="30">
        <v>1166</v>
      </c>
      <c r="J80" s="30">
        <v>1167</v>
      </c>
      <c r="K80" s="32">
        <v>1175.9000000000001</v>
      </c>
      <c r="L80" s="32">
        <v>1181.9000000000001</v>
      </c>
    </row>
    <row r="81" spans="2:12">
      <c r="B81" s="22"/>
      <c r="C81" s="22"/>
      <c r="D81" s="22" t="s">
        <v>236</v>
      </c>
      <c r="E81" s="29" t="s">
        <v>234</v>
      </c>
      <c r="F81" s="30">
        <v>376400</v>
      </c>
      <c r="G81" s="30">
        <v>1168</v>
      </c>
      <c r="H81" s="30">
        <v>1168</v>
      </c>
      <c r="I81" s="30">
        <v>1161</v>
      </c>
      <c r="J81" s="30">
        <v>1161</v>
      </c>
      <c r="K81" s="32">
        <v>1173.9000000000001</v>
      </c>
      <c r="L81" s="32">
        <v>1180.7</v>
      </c>
    </row>
    <row r="82" spans="2:12">
      <c r="B82" s="22"/>
      <c r="C82" s="22"/>
      <c r="D82" s="22" t="s">
        <v>236</v>
      </c>
      <c r="E82" s="29" t="s">
        <v>235</v>
      </c>
      <c r="F82" s="30">
        <v>1960100</v>
      </c>
      <c r="G82" s="30">
        <v>1161</v>
      </c>
      <c r="H82" s="30">
        <v>1161</v>
      </c>
      <c r="I82" s="30">
        <v>1161</v>
      </c>
      <c r="J82" s="30">
        <v>1161</v>
      </c>
      <c r="K82" s="32">
        <v>1171.9000000000001</v>
      </c>
      <c r="L82" s="32">
        <v>1179.5</v>
      </c>
    </row>
    <row r="83" spans="2:12">
      <c r="B83" s="22"/>
      <c r="C83" s="22"/>
      <c r="D83" s="22" t="s">
        <v>260</v>
      </c>
      <c r="E83" s="29" t="s">
        <v>237</v>
      </c>
      <c r="F83" s="30">
        <v>565900</v>
      </c>
      <c r="G83" s="30">
        <v>1160</v>
      </c>
      <c r="H83" s="30">
        <v>1175</v>
      </c>
      <c r="I83" s="30">
        <v>1158</v>
      </c>
      <c r="J83" s="30">
        <v>1166</v>
      </c>
      <c r="K83" s="32">
        <v>1170.3</v>
      </c>
      <c r="L83" s="32">
        <v>1178.5</v>
      </c>
    </row>
    <row r="84" spans="2:12">
      <c r="B84" s="22"/>
      <c r="C84" s="22"/>
      <c r="D84" s="22" t="s">
        <v>260</v>
      </c>
      <c r="E84" s="29" t="s">
        <v>238</v>
      </c>
      <c r="F84" s="30">
        <v>349900</v>
      </c>
      <c r="G84" s="30">
        <v>1166</v>
      </c>
      <c r="H84" s="30">
        <v>1177</v>
      </c>
      <c r="I84" s="30">
        <v>1157</v>
      </c>
      <c r="J84" s="30">
        <v>1159</v>
      </c>
      <c r="K84" s="32">
        <v>1168.3</v>
      </c>
      <c r="L84" s="32">
        <v>1177.2</v>
      </c>
    </row>
    <row r="85" spans="2:12">
      <c r="B85" s="22"/>
      <c r="C85" s="22"/>
      <c r="D85" s="22" t="s">
        <v>260</v>
      </c>
      <c r="E85" s="29" t="s">
        <v>239</v>
      </c>
      <c r="F85" s="30">
        <v>308900</v>
      </c>
      <c r="G85" s="30">
        <v>1158</v>
      </c>
      <c r="H85" s="30">
        <v>1172</v>
      </c>
      <c r="I85" s="30">
        <v>1155</v>
      </c>
      <c r="J85" s="30">
        <v>1170</v>
      </c>
      <c r="K85" s="32">
        <v>1167.4000000000001</v>
      </c>
      <c r="L85" s="32">
        <v>1176.4000000000001</v>
      </c>
    </row>
    <row r="86" spans="2:12">
      <c r="B86" s="22"/>
      <c r="C86" s="22"/>
      <c r="D86" s="22" t="s">
        <v>260</v>
      </c>
      <c r="E86" s="29" t="s">
        <v>240</v>
      </c>
      <c r="F86" s="30">
        <v>202900</v>
      </c>
      <c r="G86" s="30">
        <v>1170</v>
      </c>
      <c r="H86" s="30">
        <v>1177</v>
      </c>
      <c r="I86" s="30">
        <v>1170</v>
      </c>
      <c r="J86" s="30">
        <v>1174</v>
      </c>
      <c r="K86" s="32">
        <v>1167.2</v>
      </c>
      <c r="L86" s="32">
        <v>1175.8</v>
      </c>
    </row>
    <row r="87" spans="2:12">
      <c r="B87" s="22"/>
      <c r="C87" s="22"/>
      <c r="D87" s="22" t="s">
        <v>260</v>
      </c>
      <c r="E87" s="29" t="s">
        <v>241</v>
      </c>
      <c r="F87" s="30">
        <v>207400</v>
      </c>
      <c r="G87" s="30">
        <v>1173</v>
      </c>
      <c r="H87" s="30">
        <v>1182</v>
      </c>
      <c r="I87" s="30">
        <v>1173</v>
      </c>
      <c r="J87" s="30">
        <v>1180</v>
      </c>
      <c r="K87" s="32">
        <v>1168</v>
      </c>
      <c r="L87" s="32">
        <v>1175.7</v>
      </c>
    </row>
    <row r="88" spans="2:12">
      <c r="B88" s="22"/>
      <c r="C88" s="22"/>
      <c r="D88" s="22" t="s">
        <v>260</v>
      </c>
      <c r="E88" s="29" t="s">
        <v>242</v>
      </c>
      <c r="F88" s="30">
        <v>159700</v>
      </c>
      <c r="G88" s="30">
        <v>1180</v>
      </c>
      <c r="H88" s="30">
        <v>1181</v>
      </c>
      <c r="I88" s="30">
        <v>1175</v>
      </c>
      <c r="J88" s="30">
        <v>1177</v>
      </c>
      <c r="K88" s="32">
        <v>1168.7</v>
      </c>
      <c r="L88" s="32">
        <v>1175.4000000000001</v>
      </c>
    </row>
    <row r="89" spans="2:12">
      <c r="B89" s="22"/>
      <c r="C89" s="22"/>
      <c r="D89" s="22" t="s">
        <v>260</v>
      </c>
      <c r="E89" s="29" t="s">
        <v>243</v>
      </c>
      <c r="F89" s="30">
        <v>154400</v>
      </c>
      <c r="G89" s="30">
        <v>1177</v>
      </c>
      <c r="H89" s="30">
        <v>1181</v>
      </c>
      <c r="I89" s="30">
        <v>1174</v>
      </c>
      <c r="J89" s="30">
        <v>1179</v>
      </c>
      <c r="K89" s="32">
        <v>1169.4000000000001</v>
      </c>
      <c r="L89" s="32">
        <v>1175.2</v>
      </c>
    </row>
    <row r="90" spans="2:12">
      <c r="B90" s="22"/>
      <c r="C90" s="22"/>
      <c r="D90" s="22" t="s">
        <v>260</v>
      </c>
      <c r="E90" s="29" t="s">
        <v>244</v>
      </c>
      <c r="F90" s="30">
        <v>235500</v>
      </c>
      <c r="G90" s="30">
        <v>1179</v>
      </c>
      <c r="H90" s="30">
        <v>1188</v>
      </c>
      <c r="I90" s="30">
        <v>1179</v>
      </c>
      <c r="J90" s="30">
        <v>1184</v>
      </c>
      <c r="K90" s="32">
        <v>1171.0999999999999</v>
      </c>
      <c r="L90" s="32">
        <v>1175.2</v>
      </c>
    </row>
    <row r="91" spans="2:12">
      <c r="B91" s="22"/>
      <c r="C91" s="22"/>
      <c r="D91" s="22" t="s">
        <v>260</v>
      </c>
      <c r="E91" s="29" t="s">
        <v>245</v>
      </c>
      <c r="F91" s="30">
        <v>147300</v>
      </c>
      <c r="G91" s="30">
        <v>1184</v>
      </c>
      <c r="H91" s="30">
        <v>1187</v>
      </c>
      <c r="I91" s="30">
        <v>1183</v>
      </c>
      <c r="J91" s="30">
        <v>1185</v>
      </c>
      <c r="K91" s="32">
        <v>1173.5</v>
      </c>
      <c r="L91" s="32">
        <v>1175.4000000000001</v>
      </c>
    </row>
    <row r="92" spans="2:12">
      <c r="B92" s="22"/>
      <c r="C92" s="22"/>
      <c r="D92" s="22" t="s">
        <v>260</v>
      </c>
      <c r="E92" s="29" t="s">
        <v>246</v>
      </c>
      <c r="F92" s="30">
        <v>166000</v>
      </c>
      <c r="G92" s="30">
        <v>1186</v>
      </c>
      <c r="H92" s="30">
        <v>1186</v>
      </c>
      <c r="I92" s="30">
        <v>1184</v>
      </c>
      <c r="J92" s="30">
        <v>1186</v>
      </c>
      <c r="K92" s="32">
        <v>1176</v>
      </c>
      <c r="L92" s="32">
        <v>1175.5999999999999</v>
      </c>
    </row>
    <row r="93" spans="2:12">
      <c r="B93" s="22"/>
      <c r="C93" s="22"/>
      <c r="D93" s="22" t="s">
        <v>260</v>
      </c>
      <c r="E93" s="29" t="s">
        <v>247</v>
      </c>
      <c r="F93" s="30">
        <v>167100</v>
      </c>
      <c r="G93" s="30">
        <v>1186</v>
      </c>
      <c r="H93" s="30">
        <v>1192</v>
      </c>
      <c r="I93" s="30">
        <v>1186</v>
      </c>
      <c r="J93" s="30">
        <v>1190</v>
      </c>
      <c r="K93" s="32">
        <v>1178.4000000000001</v>
      </c>
      <c r="L93" s="32">
        <v>1175.9000000000001</v>
      </c>
    </row>
    <row r="94" spans="2:12">
      <c r="B94" s="22"/>
      <c r="C94" s="22"/>
      <c r="D94" s="22" t="s">
        <v>260</v>
      </c>
      <c r="E94" s="29" t="s">
        <v>248</v>
      </c>
      <c r="F94" s="30">
        <v>106900</v>
      </c>
      <c r="G94" s="30">
        <v>1190</v>
      </c>
      <c r="H94" s="30">
        <v>1194</v>
      </c>
      <c r="I94" s="30">
        <v>1190</v>
      </c>
      <c r="J94" s="30">
        <v>1192</v>
      </c>
      <c r="K94" s="32">
        <v>1181.7</v>
      </c>
      <c r="L94" s="32">
        <v>1176.2</v>
      </c>
    </row>
    <row r="95" spans="2:12">
      <c r="B95" s="22"/>
      <c r="C95" s="22"/>
      <c r="D95" s="22" t="s">
        <v>260</v>
      </c>
      <c r="E95" s="29" t="s">
        <v>249</v>
      </c>
      <c r="F95" s="30">
        <v>145100</v>
      </c>
      <c r="G95" s="30">
        <v>1193</v>
      </c>
      <c r="H95" s="30">
        <v>1198</v>
      </c>
      <c r="I95" s="30">
        <v>1191</v>
      </c>
      <c r="J95" s="30">
        <v>1196</v>
      </c>
      <c r="K95" s="32">
        <v>1184.3</v>
      </c>
      <c r="L95" s="32">
        <v>1176.8</v>
      </c>
    </row>
    <row r="96" spans="2:12">
      <c r="B96" s="22"/>
      <c r="C96" s="22"/>
      <c r="D96" s="22" t="s">
        <v>260</v>
      </c>
      <c r="E96" s="29" t="s">
        <v>250</v>
      </c>
      <c r="F96" s="30">
        <v>103600</v>
      </c>
      <c r="G96" s="30">
        <v>1196</v>
      </c>
      <c r="H96" s="30">
        <v>1199</v>
      </c>
      <c r="I96" s="30">
        <v>1194</v>
      </c>
      <c r="J96" s="30">
        <v>1198</v>
      </c>
      <c r="K96" s="32">
        <v>1186.7</v>
      </c>
      <c r="L96" s="32">
        <v>1177.4000000000001</v>
      </c>
    </row>
    <row r="97" spans="2:12">
      <c r="B97" s="22"/>
      <c r="C97" s="22"/>
      <c r="D97" s="22" t="s">
        <v>260</v>
      </c>
      <c r="E97" s="29" t="s">
        <v>251</v>
      </c>
      <c r="F97" s="30">
        <v>94200</v>
      </c>
      <c r="G97" s="30">
        <v>1198</v>
      </c>
      <c r="H97" s="30">
        <v>1199</v>
      </c>
      <c r="I97" s="30">
        <v>1196</v>
      </c>
      <c r="J97" s="30">
        <v>1197</v>
      </c>
      <c r="K97" s="32">
        <v>1188.4000000000001</v>
      </c>
      <c r="L97" s="32">
        <v>1178.0999999999999</v>
      </c>
    </row>
    <row r="98" spans="2:12">
      <c r="B98" s="22"/>
      <c r="C98" s="22"/>
      <c r="D98" s="22" t="s">
        <v>260</v>
      </c>
      <c r="E98" s="29" t="s">
        <v>252</v>
      </c>
      <c r="F98" s="30">
        <v>2300</v>
      </c>
      <c r="G98" s="30">
        <v>1196</v>
      </c>
      <c r="H98" s="30">
        <v>1196</v>
      </c>
      <c r="I98" s="30">
        <v>1196</v>
      </c>
      <c r="J98" s="30">
        <v>1196</v>
      </c>
      <c r="K98" s="32">
        <v>1190.3</v>
      </c>
      <c r="L98" s="32">
        <v>1178.5999999999999</v>
      </c>
    </row>
    <row r="99" spans="2:12">
      <c r="B99" s="22"/>
      <c r="C99" s="22"/>
      <c r="D99" s="22" t="s">
        <v>260</v>
      </c>
      <c r="E99" s="29" t="s">
        <v>253</v>
      </c>
      <c r="F99" s="30">
        <v>183600</v>
      </c>
      <c r="G99" s="30">
        <v>1191</v>
      </c>
      <c r="H99" s="30">
        <v>1193</v>
      </c>
      <c r="I99" s="30">
        <v>1184</v>
      </c>
      <c r="J99" s="30">
        <v>1185</v>
      </c>
      <c r="K99" s="32">
        <v>1190.9000000000001</v>
      </c>
      <c r="L99" s="32">
        <v>1178.9000000000001</v>
      </c>
    </row>
    <row r="100" spans="2:12">
      <c r="B100" s="22"/>
      <c r="C100" s="22"/>
      <c r="D100" s="22" t="s">
        <v>260</v>
      </c>
      <c r="E100" s="29" t="s">
        <v>225</v>
      </c>
      <c r="F100" s="30">
        <v>152000</v>
      </c>
      <c r="G100" s="30">
        <v>1185</v>
      </c>
      <c r="H100" s="30">
        <v>1186</v>
      </c>
      <c r="I100" s="30">
        <v>1182</v>
      </c>
      <c r="J100" s="30">
        <v>1184</v>
      </c>
      <c r="K100" s="32">
        <v>1190.9000000000001</v>
      </c>
      <c r="L100" s="32">
        <v>1179.0999999999999</v>
      </c>
    </row>
    <row r="101" spans="2:12">
      <c r="B101" s="31"/>
      <c r="C101" s="31"/>
      <c r="D101" s="31" t="s">
        <v>260</v>
      </c>
      <c r="E101" s="29" t="s">
        <v>254</v>
      </c>
      <c r="F101" s="30">
        <v>53800</v>
      </c>
      <c r="G101" s="30">
        <v>1185</v>
      </c>
      <c r="H101" s="30">
        <v>1188</v>
      </c>
      <c r="I101" s="30">
        <v>1184</v>
      </c>
      <c r="J101" s="30">
        <v>1188</v>
      </c>
      <c r="K101" s="32">
        <v>1191.2</v>
      </c>
      <c r="L101" s="32">
        <v>1179.5999999999999</v>
      </c>
    </row>
    <row r="102" spans="2:12">
      <c r="B102" s="22"/>
      <c r="C102" s="22"/>
      <c r="D102" s="22" t="s">
        <v>260</v>
      </c>
      <c r="E102" s="29" t="s">
        <v>255</v>
      </c>
      <c r="F102" s="30">
        <v>122000</v>
      </c>
      <c r="G102" s="30">
        <v>1189</v>
      </c>
      <c r="H102" s="30">
        <v>1190</v>
      </c>
      <c r="I102" s="30">
        <v>1187</v>
      </c>
      <c r="J102" s="30">
        <v>1189</v>
      </c>
      <c r="K102" s="32">
        <v>1191.5</v>
      </c>
      <c r="L102" s="32">
        <v>1180.2</v>
      </c>
    </row>
    <row r="103" spans="2:12">
      <c r="B103" s="22"/>
      <c r="C103" s="22"/>
      <c r="D103" s="22" t="s">
        <v>260</v>
      </c>
      <c r="E103" s="29" t="s">
        <v>256</v>
      </c>
      <c r="F103" s="30">
        <v>81900</v>
      </c>
      <c r="G103" s="30">
        <v>1189</v>
      </c>
      <c r="H103" s="30">
        <v>1192</v>
      </c>
      <c r="I103" s="30">
        <v>1188</v>
      </c>
      <c r="J103" s="30">
        <v>1191</v>
      </c>
      <c r="K103" s="32">
        <v>1191.5999999999999</v>
      </c>
      <c r="L103" s="32">
        <v>1181.0999999999999</v>
      </c>
    </row>
    <row r="104" spans="2:12">
      <c r="B104" s="22"/>
      <c r="C104" s="22"/>
      <c r="D104" s="22" t="s">
        <v>260</v>
      </c>
      <c r="E104" s="29" t="s">
        <v>257</v>
      </c>
      <c r="F104" s="30">
        <v>117400</v>
      </c>
      <c r="G104" s="30">
        <v>1191</v>
      </c>
      <c r="H104" s="30">
        <v>1192</v>
      </c>
      <c r="I104" s="30">
        <v>1187</v>
      </c>
      <c r="J104" s="30">
        <v>1188</v>
      </c>
      <c r="K104" s="32">
        <v>1191.2</v>
      </c>
      <c r="L104" s="32">
        <v>1181.7</v>
      </c>
    </row>
    <row r="105" spans="2:12">
      <c r="B105" s="22"/>
      <c r="C105" s="22"/>
      <c r="D105" s="22" t="s">
        <v>260</v>
      </c>
      <c r="E105" s="29" t="s">
        <v>258</v>
      </c>
      <c r="F105" s="30">
        <v>63400</v>
      </c>
      <c r="G105" s="30">
        <v>1187</v>
      </c>
      <c r="H105" s="30">
        <v>1193</v>
      </c>
      <c r="I105" s="30">
        <v>1187</v>
      </c>
      <c r="J105" s="30">
        <v>1192</v>
      </c>
      <c r="K105" s="32">
        <v>1190.8</v>
      </c>
      <c r="L105" s="32">
        <v>1182.7</v>
      </c>
    </row>
    <row r="106" spans="2:12">
      <c r="B106" s="22"/>
      <c r="C106" s="22"/>
      <c r="D106" s="22" t="s">
        <v>260</v>
      </c>
      <c r="E106" s="29" t="s">
        <v>259</v>
      </c>
      <c r="F106" s="30">
        <v>67200</v>
      </c>
      <c r="G106" s="30">
        <v>1193</v>
      </c>
      <c r="H106" s="30">
        <v>1193</v>
      </c>
      <c r="I106" s="30">
        <v>1189</v>
      </c>
      <c r="J106" s="30">
        <v>1191</v>
      </c>
      <c r="K106" s="32">
        <v>1190.0999999999999</v>
      </c>
      <c r="L106" s="32">
        <v>1183.9000000000001</v>
      </c>
    </row>
    <row r="107" spans="2:12">
      <c r="B107" s="22"/>
      <c r="C107" s="22"/>
      <c r="D107" s="22" t="s">
        <v>260</v>
      </c>
      <c r="E107" s="29" t="s">
        <v>228</v>
      </c>
      <c r="F107" s="30">
        <v>35000</v>
      </c>
      <c r="G107" s="30">
        <v>1190</v>
      </c>
      <c r="H107" s="30">
        <v>1191</v>
      </c>
      <c r="I107" s="30">
        <v>1189</v>
      </c>
      <c r="J107" s="30">
        <v>1191</v>
      </c>
      <c r="K107" s="32">
        <v>1189.5</v>
      </c>
      <c r="L107" s="32">
        <v>1185.0999999999999</v>
      </c>
    </row>
    <row r="108" spans="2:12">
      <c r="B108" s="22"/>
      <c r="C108" s="22"/>
      <c r="D108" s="22" t="s">
        <v>260</v>
      </c>
      <c r="E108" s="29" t="s">
        <v>229</v>
      </c>
      <c r="F108" s="30">
        <v>113600</v>
      </c>
      <c r="G108" s="30">
        <v>1191</v>
      </c>
      <c r="H108" s="30">
        <v>1191</v>
      </c>
      <c r="I108" s="30">
        <v>1186</v>
      </c>
      <c r="J108" s="30">
        <v>1186</v>
      </c>
      <c r="K108" s="32">
        <v>1188.5</v>
      </c>
      <c r="L108" s="32">
        <v>1185.9000000000001</v>
      </c>
    </row>
    <row r="109" spans="2:12">
      <c r="B109" s="22"/>
      <c r="C109" s="22"/>
      <c r="D109" s="22" t="s">
        <v>260</v>
      </c>
      <c r="E109" s="29" t="s">
        <v>230</v>
      </c>
      <c r="F109" s="30">
        <v>112300</v>
      </c>
      <c r="G109" s="30">
        <v>1187</v>
      </c>
      <c r="H109" s="30">
        <v>1188</v>
      </c>
      <c r="I109" s="30">
        <v>1186</v>
      </c>
      <c r="J109" s="30">
        <v>1187</v>
      </c>
      <c r="K109" s="32">
        <v>1188.7</v>
      </c>
      <c r="L109" s="32">
        <v>1187</v>
      </c>
    </row>
    <row r="110" spans="2:12">
      <c r="B110" s="22"/>
      <c r="C110" s="22"/>
      <c r="D110" s="22" t="s">
        <v>260</v>
      </c>
      <c r="E110" s="29" t="s">
        <v>231</v>
      </c>
      <c r="F110" s="30">
        <v>117000</v>
      </c>
      <c r="G110" s="30">
        <v>1187</v>
      </c>
      <c r="H110" s="30">
        <v>1189</v>
      </c>
      <c r="I110" s="30">
        <v>1186</v>
      </c>
      <c r="J110" s="30">
        <v>1189</v>
      </c>
      <c r="K110" s="32">
        <v>1189.2</v>
      </c>
      <c r="L110" s="32">
        <v>1187.8</v>
      </c>
    </row>
    <row r="111" spans="2:12">
      <c r="B111" s="22"/>
      <c r="C111" s="22"/>
      <c r="D111" s="22" t="s">
        <v>260</v>
      </c>
      <c r="E111" s="29" t="s">
        <v>232</v>
      </c>
      <c r="F111" s="30">
        <v>355900</v>
      </c>
      <c r="G111" s="30">
        <v>1189</v>
      </c>
      <c r="H111" s="30">
        <v>1189</v>
      </c>
      <c r="I111" s="30">
        <v>1184</v>
      </c>
      <c r="J111" s="30">
        <v>1188</v>
      </c>
      <c r="K111" s="32">
        <v>1189.2</v>
      </c>
      <c r="L111" s="32">
        <v>1188.4000000000001</v>
      </c>
    </row>
    <row r="112" spans="2:12">
      <c r="B112" s="22"/>
      <c r="C112" s="22"/>
      <c r="D112" s="22" t="s">
        <v>260</v>
      </c>
      <c r="E112" s="29" t="s">
        <v>233</v>
      </c>
      <c r="F112" s="30">
        <v>201900</v>
      </c>
      <c r="G112" s="30">
        <v>1188</v>
      </c>
      <c r="H112" s="30">
        <v>1188</v>
      </c>
      <c r="I112" s="30">
        <v>1184</v>
      </c>
      <c r="J112" s="30">
        <v>1185</v>
      </c>
      <c r="K112" s="32">
        <v>1188.8</v>
      </c>
      <c r="L112" s="32">
        <v>1188.5999999999999</v>
      </c>
    </row>
    <row r="113" spans="2:12">
      <c r="B113" s="22"/>
      <c r="C113" s="22"/>
      <c r="D113" s="22" t="s">
        <v>260</v>
      </c>
      <c r="E113" s="29" t="s">
        <v>234</v>
      </c>
      <c r="F113" s="30">
        <v>347400</v>
      </c>
      <c r="G113" s="30">
        <v>1185</v>
      </c>
      <c r="H113" s="30">
        <v>1186</v>
      </c>
      <c r="I113" s="30">
        <v>1180</v>
      </c>
      <c r="J113" s="30">
        <v>1182</v>
      </c>
      <c r="K113" s="32">
        <v>1187.9000000000001</v>
      </c>
      <c r="L113" s="32">
        <v>1188.8</v>
      </c>
    </row>
    <row r="114" spans="2:12">
      <c r="B114" s="22"/>
      <c r="C114" s="22"/>
      <c r="D114" s="22" t="s">
        <v>260</v>
      </c>
      <c r="E114" s="29" t="s">
        <v>235</v>
      </c>
      <c r="F114" s="30">
        <v>793700</v>
      </c>
      <c r="G114" s="30">
        <v>1180</v>
      </c>
      <c r="H114" s="30">
        <v>1180</v>
      </c>
      <c r="I114" s="30">
        <v>1180</v>
      </c>
      <c r="J114" s="30">
        <v>1180</v>
      </c>
      <c r="K114" s="32">
        <v>1187.0999999999999</v>
      </c>
      <c r="L114" s="32">
        <v>1188.8</v>
      </c>
    </row>
    <row r="115" spans="2:12">
      <c r="B115" s="22"/>
      <c r="C115" s="22"/>
      <c r="D115" s="22" t="s">
        <v>226</v>
      </c>
      <c r="E115" s="29" t="s">
        <v>237</v>
      </c>
      <c r="F115" s="30">
        <v>935500</v>
      </c>
      <c r="G115" s="30">
        <v>1165</v>
      </c>
      <c r="H115" s="30">
        <v>1168</v>
      </c>
      <c r="I115" s="30">
        <v>1145</v>
      </c>
      <c r="J115" s="30">
        <v>1153</v>
      </c>
      <c r="K115" s="32">
        <v>1183.2</v>
      </c>
      <c r="L115" s="32">
        <v>1187.5999999999999</v>
      </c>
    </row>
    <row r="116" spans="2:12">
      <c r="B116" s="22"/>
      <c r="C116" s="22"/>
      <c r="D116" s="22" t="s">
        <v>226</v>
      </c>
      <c r="E116" s="29" t="s">
        <v>238</v>
      </c>
      <c r="F116" s="30">
        <v>234100</v>
      </c>
      <c r="G116" s="30">
        <v>1152</v>
      </c>
      <c r="H116" s="30">
        <v>1158</v>
      </c>
      <c r="I116" s="30">
        <v>1148</v>
      </c>
      <c r="J116" s="30">
        <v>1154</v>
      </c>
      <c r="K116" s="32">
        <v>1179.5</v>
      </c>
      <c r="L116" s="32">
        <v>1186.3</v>
      </c>
    </row>
    <row r="117" spans="2:12">
      <c r="B117" s="22"/>
      <c r="C117" s="22"/>
      <c r="D117" s="22" t="s">
        <v>226</v>
      </c>
      <c r="E117" s="29" t="s">
        <v>239</v>
      </c>
      <c r="F117" s="30">
        <v>215100</v>
      </c>
      <c r="G117" s="30">
        <v>1153</v>
      </c>
      <c r="H117" s="30">
        <v>1161</v>
      </c>
      <c r="I117" s="30">
        <v>1151</v>
      </c>
      <c r="J117" s="30">
        <v>1160</v>
      </c>
      <c r="K117" s="32">
        <v>1176.4000000000001</v>
      </c>
      <c r="L117" s="32">
        <v>1185.3</v>
      </c>
    </row>
    <row r="118" spans="2:12">
      <c r="B118" s="22"/>
      <c r="C118" s="22"/>
      <c r="D118" s="22" t="s">
        <v>226</v>
      </c>
      <c r="E118" s="29" t="s">
        <v>240</v>
      </c>
      <c r="F118" s="30">
        <v>164600</v>
      </c>
      <c r="G118" s="30">
        <v>1159</v>
      </c>
      <c r="H118" s="30">
        <v>1163</v>
      </c>
      <c r="I118" s="30">
        <v>1155</v>
      </c>
      <c r="J118" s="30">
        <v>1157</v>
      </c>
      <c r="K118" s="32">
        <v>1173.5</v>
      </c>
      <c r="L118" s="32">
        <v>1184</v>
      </c>
    </row>
    <row r="119" spans="2:12">
      <c r="B119" s="22"/>
      <c r="C119" s="22"/>
      <c r="D119" s="22" t="s">
        <v>226</v>
      </c>
      <c r="E119" s="29" t="s">
        <v>241</v>
      </c>
      <c r="F119" s="30">
        <v>180600</v>
      </c>
      <c r="G119" s="30">
        <v>1157</v>
      </c>
      <c r="H119" s="30">
        <v>1157</v>
      </c>
      <c r="I119" s="30">
        <v>1150</v>
      </c>
      <c r="J119" s="30">
        <v>1152</v>
      </c>
      <c r="K119" s="32">
        <v>1170</v>
      </c>
      <c r="L119" s="32">
        <v>1182.4000000000001</v>
      </c>
    </row>
    <row r="120" spans="2:12">
      <c r="B120" s="22"/>
      <c r="C120" s="22"/>
      <c r="D120" s="22" t="s">
        <v>226</v>
      </c>
      <c r="E120" s="29" t="s">
        <v>242</v>
      </c>
      <c r="F120" s="30">
        <v>80300</v>
      </c>
      <c r="G120" s="30">
        <v>1153</v>
      </c>
      <c r="H120" s="30">
        <v>1154</v>
      </c>
      <c r="I120" s="30">
        <v>1151</v>
      </c>
      <c r="J120" s="30">
        <v>1153</v>
      </c>
      <c r="K120" s="32">
        <v>1166.4000000000001</v>
      </c>
      <c r="L120" s="32">
        <v>1180.5999999999999</v>
      </c>
    </row>
    <row r="121" spans="2:12">
      <c r="B121" s="22"/>
      <c r="C121" s="22"/>
      <c r="D121" s="22" t="s">
        <v>226</v>
      </c>
      <c r="E121" s="29" t="s">
        <v>243</v>
      </c>
      <c r="F121" s="30">
        <v>155800</v>
      </c>
      <c r="G121" s="30">
        <v>1153</v>
      </c>
      <c r="H121" s="30">
        <v>1153</v>
      </c>
      <c r="I121" s="30">
        <v>1150</v>
      </c>
      <c r="J121" s="30">
        <v>1152</v>
      </c>
      <c r="K121" s="32">
        <v>1162.8</v>
      </c>
      <c r="L121" s="32">
        <v>1178.8</v>
      </c>
    </row>
    <row r="122" spans="2:12">
      <c r="B122" s="22"/>
      <c r="C122" s="22"/>
      <c r="D122" s="22" t="s">
        <v>226</v>
      </c>
      <c r="E122" s="29" t="s">
        <v>244</v>
      </c>
      <c r="F122" s="30">
        <v>116200</v>
      </c>
      <c r="G122" s="30">
        <v>1151</v>
      </c>
      <c r="H122" s="30">
        <v>1152</v>
      </c>
      <c r="I122" s="30">
        <v>1150</v>
      </c>
      <c r="J122" s="30">
        <v>1151</v>
      </c>
      <c r="K122" s="32">
        <v>1159.4000000000001</v>
      </c>
      <c r="L122" s="32">
        <v>1177</v>
      </c>
    </row>
    <row r="123" spans="2:12">
      <c r="B123" s="22"/>
      <c r="C123" s="22"/>
      <c r="D123" s="22" t="s">
        <v>226</v>
      </c>
      <c r="E123" s="29" t="s">
        <v>245</v>
      </c>
      <c r="F123" s="30">
        <v>94400</v>
      </c>
      <c r="G123" s="30">
        <v>1151</v>
      </c>
      <c r="H123" s="30">
        <v>1152</v>
      </c>
      <c r="I123" s="30">
        <v>1150</v>
      </c>
      <c r="J123" s="30">
        <v>1151</v>
      </c>
      <c r="K123" s="32">
        <v>1156.3</v>
      </c>
      <c r="L123" s="32">
        <v>1175.2</v>
      </c>
    </row>
    <row r="124" spans="2:12">
      <c r="B124" s="22"/>
      <c r="C124" s="22"/>
      <c r="D124" s="22" t="s">
        <v>226</v>
      </c>
      <c r="E124" s="29" t="s">
        <v>246</v>
      </c>
      <c r="F124" s="30">
        <v>208700</v>
      </c>
      <c r="G124" s="30">
        <v>1151</v>
      </c>
      <c r="H124" s="30">
        <v>1152</v>
      </c>
      <c r="I124" s="30">
        <v>1148</v>
      </c>
      <c r="J124" s="30">
        <v>1149</v>
      </c>
      <c r="K124" s="32">
        <v>1153.2</v>
      </c>
      <c r="L124" s="32">
        <v>1173.7</v>
      </c>
    </row>
    <row r="125" spans="2:12">
      <c r="B125" s="22"/>
      <c r="C125" s="22"/>
      <c r="D125" s="22" t="s">
        <v>226</v>
      </c>
      <c r="E125" s="29" t="s">
        <v>247</v>
      </c>
      <c r="F125" s="30">
        <v>178300</v>
      </c>
      <c r="G125" s="30">
        <v>1149</v>
      </c>
      <c r="H125" s="30">
        <v>1151</v>
      </c>
      <c r="I125" s="30">
        <v>1147</v>
      </c>
      <c r="J125" s="30">
        <v>1148</v>
      </c>
      <c r="K125" s="32">
        <v>1152.7</v>
      </c>
      <c r="L125" s="32">
        <v>1172.3</v>
      </c>
    </row>
    <row r="126" spans="2:12">
      <c r="B126" s="22"/>
      <c r="C126" s="22"/>
      <c r="D126" s="22" t="s">
        <v>226</v>
      </c>
      <c r="E126" s="29" t="s">
        <v>248</v>
      </c>
      <c r="F126" s="30">
        <v>192000</v>
      </c>
      <c r="G126" s="30">
        <v>1148</v>
      </c>
      <c r="H126" s="30">
        <v>1156</v>
      </c>
      <c r="I126" s="30">
        <v>1148</v>
      </c>
      <c r="J126" s="30">
        <v>1156</v>
      </c>
      <c r="K126" s="32">
        <v>1152.9000000000001</v>
      </c>
      <c r="L126" s="32">
        <v>1171</v>
      </c>
    </row>
    <row r="127" spans="2:12">
      <c r="B127" s="22"/>
      <c r="C127" s="22"/>
      <c r="D127" s="22" t="s">
        <v>226</v>
      </c>
      <c r="E127" s="29" t="s">
        <v>249</v>
      </c>
      <c r="F127" s="30">
        <v>57900</v>
      </c>
      <c r="G127" s="30">
        <v>1155</v>
      </c>
      <c r="H127" s="30">
        <v>1156</v>
      </c>
      <c r="I127" s="30">
        <v>1153</v>
      </c>
      <c r="J127" s="30">
        <v>1153</v>
      </c>
      <c r="K127" s="32">
        <v>1152.2</v>
      </c>
      <c r="L127" s="32">
        <v>1169.5999999999999</v>
      </c>
    </row>
    <row r="128" spans="2:12">
      <c r="B128" s="22"/>
      <c r="C128" s="22"/>
      <c r="D128" s="22" t="s">
        <v>226</v>
      </c>
      <c r="E128" s="29" t="s">
        <v>250</v>
      </c>
      <c r="F128" s="30">
        <v>97200</v>
      </c>
      <c r="G128" s="30">
        <v>1153</v>
      </c>
      <c r="H128" s="30">
        <v>1156</v>
      </c>
      <c r="I128" s="30">
        <v>1153</v>
      </c>
      <c r="J128" s="30">
        <v>1154</v>
      </c>
      <c r="K128" s="32">
        <v>1151.9000000000001</v>
      </c>
      <c r="L128" s="32">
        <v>1168.0999999999999</v>
      </c>
    </row>
    <row r="129" spans="2:12">
      <c r="B129" s="22"/>
      <c r="C129" s="22"/>
      <c r="D129" s="22" t="s">
        <v>226</v>
      </c>
      <c r="E129" s="29" t="s">
        <v>251</v>
      </c>
      <c r="F129" s="30">
        <v>61700</v>
      </c>
      <c r="G129" s="30">
        <v>1154</v>
      </c>
      <c r="H129" s="30">
        <v>1156</v>
      </c>
      <c r="I129" s="30">
        <v>1153</v>
      </c>
      <c r="J129" s="30">
        <v>1154</v>
      </c>
      <c r="K129" s="32">
        <v>1152.0999999999999</v>
      </c>
      <c r="L129" s="32">
        <v>1166.7</v>
      </c>
    </row>
    <row r="130" spans="2:12">
      <c r="B130" s="22"/>
      <c r="C130" s="22"/>
      <c r="D130" s="22" t="s">
        <v>226</v>
      </c>
      <c r="E130" s="29" t="s">
        <v>252</v>
      </c>
      <c r="F130" s="30">
        <v>9000</v>
      </c>
      <c r="G130" s="30">
        <v>1157</v>
      </c>
      <c r="H130" s="30">
        <v>1157</v>
      </c>
      <c r="I130" s="30">
        <v>1157</v>
      </c>
      <c r="J130" s="30">
        <v>1157</v>
      </c>
      <c r="K130" s="32">
        <v>1152.5</v>
      </c>
      <c r="L130" s="32">
        <v>1165.3</v>
      </c>
    </row>
    <row r="131" spans="2:12">
      <c r="B131" s="22"/>
      <c r="C131" s="22"/>
      <c r="D131" s="22" t="s">
        <v>226</v>
      </c>
      <c r="E131" s="29" t="s">
        <v>253</v>
      </c>
      <c r="F131" s="30">
        <v>187800</v>
      </c>
      <c r="G131" s="30">
        <v>1157</v>
      </c>
      <c r="H131" s="30">
        <v>1157</v>
      </c>
      <c r="I131" s="30">
        <v>1151</v>
      </c>
      <c r="J131" s="30">
        <v>1152</v>
      </c>
      <c r="K131" s="32">
        <v>1152.5</v>
      </c>
      <c r="L131" s="32">
        <v>1163.8</v>
      </c>
    </row>
    <row r="132" spans="2:12">
      <c r="B132" s="22"/>
      <c r="C132" s="22"/>
      <c r="D132" s="22" t="s">
        <v>226</v>
      </c>
      <c r="E132" s="29" t="s">
        <v>225</v>
      </c>
      <c r="F132" s="30">
        <v>137500</v>
      </c>
      <c r="G132" s="30">
        <v>1151</v>
      </c>
      <c r="H132" s="30">
        <v>1154</v>
      </c>
      <c r="I132" s="30">
        <v>1150</v>
      </c>
      <c r="J132" s="30">
        <v>1154</v>
      </c>
      <c r="K132" s="32">
        <v>1152.8</v>
      </c>
      <c r="L132" s="32">
        <v>1162.3</v>
      </c>
    </row>
    <row r="133" spans="2:12">
      <c r="B133" s="22"/>
      <c r="C133" s="22"/>
      <c r="D133" s="22" t="s">
        <v>226</v>
      </c>
      <c r="E133" s="29" t="s">
        <v>254</v>
      </c>
      <c r="F133" s="30">
        <v>59600</v>
      </c>
      <c r="G133" s="30">
        <v>1153</v>
      </c>
      <c r="H133" s="30">
        <v>1156</v>
      </c>
      <c r="I133" s="30">
        <v>1153</v>
      </c>
      <c r="J133" s="30">
        <v>1154</v>
      </c>
      <c r="K133" s="32">
        <v>1153.0999999999999</v>
      </c>
      <c r="L133" s="32">
        <v>1161</v>
      </c>
    </row>
    <row r="134" spans="2:12">
      <c r="B134" s="22"/>
      <c r="C134" s="22"/>
      <c r="D134" s="22" t="s">
        <v>226</v>
      </c>
      <c r="E134" s="29" t="s">
        <v>255</v>
      </c>
      <c r="F134" s="30">
        <v>114200</v>
      </c>
      <c r="G134" s="30">
        <v>1155</v>
      </c>
      <c r="H134" s="30">
        <v>1160</v>
      </c>
      <c r="I134" s="30">
        <v>1155</v>
      </c>
      <c r="J134" s="30">
        <v>1158</v>
      </c>
      <c r="K134" s="32">
        <v>1154</v>
      </c>
      <c r="L134" s="32">
        <v>1159.8</v>
      </c>
    </row>
    <row r="135" spans="2:12">
      <c r="B135" s="22"/>
      <c r="C135" s="22"/>
      <c r="D135" s="22" t="s">
        <v>226</v>
      </c>
      <c r="E135" s="29" t="s">
        <v>256</v>
      </c>
      <c r="F135" s="30">
        <v>92500</v>
      </c>
      <c r="G135" s="30">
        <v>1158</v>
      </c>
      <c r="H135" s="30">
        <v>1160</v>
      </c>
      <c r="I135" s="30">
        <v>1157</v>
      </c>
      <c r="J135" s="30">
        <v>1159</v>
      </c>
      <c r="K135" s="32">
        <v>1155.0999999999999</v>
      </c>
      <c r="L135" s="32">
        <v>1158.5999999999999</v>
      </c>
    </row>
    <row r="136" spans="2:12">
      <c r="B136" s="22"/>
      <c r="C136" s="22"/>
      <c r="D136" s="22" t="s">
        <v>226</v>
      </c>
      <c r="E136" s="29" t="s">
        <v>257</v>
      </c>
      <c r="F136" s="30">
        <v>68800</v>
      </c>
      <c r="G136" s="30">
        <v>1158</v>
      </c>
      <c r="H136" s="30">
        <v>1161</v>
      </c>
      <c r="I136" s="30">
        <v>1158</v>
      </c>
      <c r="J136" s="30">
        <v>1160</v>
      </c>
      <c r="K136" s="32">
        <v>1155.5</v>
      </c>
      <c r="L136" s="32">
        <v>1157.5</v>
      </c>
    </row>
    <row r="137" spans="2:12">
      <c r="B137" s="22"/>
      <c r="C137" s="22"/>
      <c r="D137" s="22" t="s">
        <v>226</v>
      </c>
      <c r="E137" s="29" t="s">
        <v>258</v>
      </c>
      <c r="F137" s="30">
        <v>81700</v>
      </c>
      <c r="G137" s="30">
        <v>1159</v>
      </c>
      <c r="H137" s="30">
        <v>1159</v>
      </c>
      <c r="I137" s="30">
        <v>1157</v>
      </c>
      <c r="J137" s="30">
        <v>1158</v>
      </c>
      <c r="K137" s="32">
        <v>1156</v>
      </c>
      <c r="L137" s="32">
        <v>1156.4000000000001</v>
      </c>
    </row>
    <row r="138" spans="2:12">
      <c r="B138" s="22"/>
      <c r="C138" s="22"/>
      <c r="D138" s="22" t="s">
        <v>226</v>
      </c>
      <c r="E138" s="29" t="s">
        <v>259</v>
      </c>
      <c r="F138" s="30">
        <v>91200</v>
      </c>
      <c r="G138" s="30">
        <v>1158</v>
      </c>
      <c r="H138" s="30">
        <v>1159</v>
      </c>
      <c r="I138" s="30">
        <v>1154</v>
      </c>
      <c r="J138" s="30">
        <v>1154</v>
      </c>
      <c r="K138" s="32">
        <v>1156</v>
      </c>
      <c r="L138" s="32">
        <v>1155.3</v>
      </c>
    </row>
    <row r="139" spans="2:12">
      <c r="B139" s="22"/>
      <c r="C139" s="22"/>
      <c r="D139" s="22" t="s">
        <v>226</v>
      </c>
      <c r="E139" s="29" t="s">
        <v>228</v>
      </c>
      <c r="F139" s="30">
        <v>255100</v>
      </c>
      <c r="G139" s="30">
        <v>1154</v>
      </c>
      <c r="H139" s="30">
        <v>1154</v>
      </c>
      <c r="I139" s="30">
        <v>1149</v>
      </c>
      <c r="J139" s="30">
        <v>1151</v>
      </c>
      <c r="K139" s="32">
        <v>1155.7</v>
      </c>
      <c r="L139" s="32">
        <v>1154.2</v>
      </c>
    </row>
    <row r="140" spans="2:12">
      <c r="B140" s="22"/>
      <c r="C140" s="22"/>
      <c r="D140" s="22" t="s">
        <v>226</v>
      </c>
      <c r="E140" s="29" t="s">
        <v>229</v>
      </c>
      <c r="F140" s="30">
        <v>96600</v>
      </c>
      <c r="G140" s="30">
        <v>1151</v>
      </c>
      <c r="H140" s="30">
        <v>1152</v>
      </c>
      <c r="I140" s="30">
        <v>1150</v>
      </c>
      <c r="J140" s="30">
        <v>1152</v>
      </c>
      <c r="K140" s="32">
        <v>1155.2</v>
      </c>
      <c r="L140" s="32">
        <v>1154.0999999999999</v>
      </c>
    </row>
    <row r="141" spans="2:12">
      <c r="B141" s="18" t="s">
        <v>224</v>
      </c>
      <c r="C141" s="18" t="s">
        <v>224</v>
      </c>
      <c r="D141" s="18" t="s">
        <v>224</v>
      </c>
      <c r="E141" s="18" t="s">
        <v>224</v>
      </c>
      <c r="F141" s="18" t="s">
        <v>224</v>
      </c>
      <c r="G141" s="18" t="s">
        <v>224</v>
      </c>
      <c r="H141" s="18" t="s">
        <v>224</v>
      </c>
      <c r="I141" s="18" t="s">
        <v>224</v>
      </c>
      <c r="J141" s="18" t="s">
        <v>224</v>
      </c>
      <c r="K141" s="18" t="s">
        <v>224</v>
      </c>
      <c r="L141" s="18" t="s">
        <v>224</v>
      </c>
    </row>
    <row r="142" spans="2:12">
      <c r="B142" s="18" t="s">
        <v>224</v>
      </c>
      <c r="C142" s="18" t="s">
        <v>224</v>
      </c>
      <c r="D142" s="18" t="s">
        <v>224</v>
      </c>
      <c r="E142" s="18" t="s">
        <v>224</v>
      </c>
      <c r="F142" s="18" t="s">
        <v>224</v>
      </c>
      <c r="G142" s="18" t="s">
        <v>224</v>
      </c>
      <c r="H142" s="18" t="s">
        <v>224</v>
      </c>
      <c r="I142" s="18" t="s">
        <v>224</v>
      </c>
      <c r="J142" s="18" t="s">
        <v>224</v>
      </c>
      <c r="K142" s="18" t="s">
        <v>224</v>
      </c>
      <c r="L142" s="18" t="s">
        <v>224</v>
      </c>
    </row>
    <row r="143" spans="2:12">
      <c r="B143" s="18"/>
      <c r="C143" s="18"/>
      <c r="D143" s="18"/>
      <c r="E143" s="18"/>
      <c r="F143" s="18"/>
      <c r="G143" s="18"/>
      <c r="H143" s="18"/>
      <c r="I143" s="18"/>
      <c r="J143" s="18"/>
      <c r="K143" s="18"/>
      <c r="L143" s="18"/>
    </row>
    <row r="144" spans="2:12">
      <c r="B144" s="18"/>
      <c r="C144" s="18"/>
      <c r="D144" s="18"/>
      <c r="E144" s="18"/>
      <c r="F144" s="18"/>
      <c r="G144" s="18"/>
      <c r="H144" s="18"/>
      <c r="I144" s="18"/>
      <c r="J144" s="18"/>
      <c r="K144" s="18"/>
      <c r="L144" s="18"/>
    </row>
    <row r="145" spans="2:12">
      <c r="B145" s="18"/>
      <c r="C145" s="18"/>
      <c r="D145" s="18"/>
      <c r="E145" s="18"/>
      <c r="F145" s="18"/>
      <c r="G145" s="18"/>
      <c r="H145" s="18"/>
      <c r="I145" s="18"/>
      <c r="J145" s="18"/>
      <c r="K145" s="18"/>
      <c r="L145" s="18"/>
    </row>
    <row r="146" spans="2:12">
      <c r="B146" s="18"/>
      <c r="C146" s="18"/>
      <c r="D146" s="18"/>
      <c r="E146" s="18"/>
      <c r="F146" s="18"/>
      <c r="G146" s="18"/>
      <c r="H146" s="18"/>
      <c r="I146" s="18"/>
      <c r="J146" s="18"/>
      <c r="K146" s="18"/>
      <c r="L146" s="18"/>
    </row>
    <row r="147" spans="2:12">
      <c r="B147" s="18"/>
      <c r="C147" s="18"/>
      <c r="D147" s="18"/>
      <c r="E147" s="18"/>
      <c r="F147" s="18"/>
      <c r="G147" s="18"/>
      <c r="H147" s="18"/>
      <c r="I147" s="18"/>
      <c r="J147" s="18"/>
      <c r="K147" s="18"/>
      <c r="L147" s="18"/>
    </row>
    <row r="148" spans="2:12">
      <c r="B148" s="18"/>
      <c r="C148" s="18"/>
      <c r="D148" s="18"/>
      <c r="E148" s="18"/>
      <c r="F148" s="18"/>
      <c r="G148" s="18"/>
      <c r="H148" s="18"/>
      <c r="I148" s="18"/>
      <c r="J148" s="18"/>
      <c r="K148" s="18"/>
      <c r="L148" s="18"/>
    </row>
    <row r="149" spans="2:12">
      <c r="B149" s="18"/>
      <c r="C149" s="18"/>
      <c r="D149" s="18"/>
      <c r="E149" s="18"/>
      <c r="F149" s="18"/>
      <c r="G149" s="18"/>
      <c r="H149" s="18"/>
      <c r="I149" s="18"/>
      <c r="J149" s="18"/>
      <c r="K149" s="18"/>
      <c r="L149" s="18"/>
    </row>
    <row r="150" spans="2:12">
      <c r="B150" s="18"/>
      <c r="C150" s="18"/>
      <c r="D150" s="18"/>
      <c r="E150" s="18"/>
      <c r="F150" s="18"/>
      <c r="G150" s="18"/>
      <c r="H150" s="18"/>
      <c r="I150" s="18"/>
      <c r="J150" s="18"/>
      <c r="K150" s="18"/>
      <c r="L150" s="18"/>
    </row>
    <row r="151" spans="2:12">
      <c r="B151" s="18"/>
      <c r="C151" s="18"/>
      <c r="D151" s="18"/>
      <c r="E151" s="18"/>
      <c r="F151" s="18"/>
      <c r="G151" s="18"/>
      <c r="H151" s="18"/>
      <c r="I151" s="18"/>
      <c r="J151" s="18"/>
      <c r="K151" s="18"/>
      <c r="L151" s="18"/>
    </row>
    <row r="152" spans="2:12">
      <c r="B152" s="18"/>
      <c r="C152" s="18"/>
      <c r="D152" s="18"/>
      <c r="E152" s="18"/>
      <c r="F152" s="18"/>
      <c r="G152" s="18"/>
      <c r="H152" s="18"/>
      <c r="I152" s="18"/>
      <c r="J152" s="18"/>
      <c r="K152" s="18"/>
      <c r="L152" s="18"/>
    </row>
  </sheetData>
  <mergeCells count="35">
    <mergeCell ref="T18:U18"/>
    <mergeCell ref="C10:D10"/>
    <mergeCell ref="C11:D11"/>
    <mergeCell ref="K15:L15"/>
    <mergeCell ref="K16:L16"/>
    <mergeCell ref="R18:S18"/>
    <mergeCell ref="Q28:U28"/>
    <mergeCell ref="I19:L19"/>
    <mergeCell ref="I20:J20"/>
    <mergeCell ref="K20:L20"/>
    <mergeCell ref="I21:J21"/>
    <mergeCell ref="K21:L21"/>
    <mergeCell ref="Q21:U21"/>
    <mergeCell ref="Q22:U22"/>
    <mergeCell ref="Q23:U23"/>
    <mergeCell ref="Q25:U25"/>
    <mergeCell ref="Q26:U26"/>
    <mergeCell ref="Q27:U27"/>
    <mergeCell ref="Q40:U40"/>
    <mergeCell ref="Q29:U29"/>
    <mergeCell ref="Q30:U30"/>
    <mergeCell ref="Q31:U31"/>
    <mergeCell ref="Q32:U32"/>
    <mergeCell ref="Q33:U33"/>
    <mergeCell ref="Q34:U34"/>
    <mergeCell ref="Q35:U35"/>
    <mergeCell ref="Q36:U36"/>
    <mergeCell ref="Q37:U37"/>
    <mergeCell ref="Q38:U38"/>
    <mergeCell ref="Q39:U39"/>
    <mergeCell ref="Q41:U41"/>
    <mergeCell ref="Q42:U42"/>
    <mergeCell ref="Q43:U43"/>
    <mergeCell ref="Q44:U44"/>
    <mergeCell ref="Q45:U45"/>
  </mergeCells>
  <phoneticPr fontId="4"/>
  <conditionalFormatting sqref="O33">
    <cfRule type="expression" dxfId="8" priority="8">
      <formula>$O$32=0</formula>
    </cfRule>
  </conditionalFormatting>
  <conditionalFormatting sqref="O35">
    <cfRule type="expression" dxfId="7" priority="7">
      <formula>$O$34&lt;&gt;5</formula>
    </cfRule>
  </conditionalFormatting>
  <conditionalFormatting sqref="O45">
    <cfRule type="expression" dxfId="6" priority="3">
      <formula>$O$41=0</formula>
    </cfRule>
    <cfRule type="expression" dxfId="5" priority="6">
      <formula>$O$44&lt;&gt;5</formula>
    </cfRule>
  </conditionalFormatting>
  <conditionalFormatting sqref="N30:U30 N42:U42">
    <cfRule type="expression" dxfId="4" priority="9">
      <formula>$O$26&lt;&gt;1</formula>
    </cfRule>
  </conditionalFormatting>
  <conditionalFormatting sqref="O42">
    <cfRule type="expression" dxfId="3" priority="5">
      <formula>$O$26=0</formula>
    </cfRule>
  </conditionalFormatting>
  <conditionalFormatting sqref="O42:O44">
    <cfRule type="expression" dxfId="2" priority="4">
      <formula>$O$41=0</formula>
    </cfRule>
  </conditionalFormatting>
  <conditionalFormatting sqref="O40">
    <cfRule type="expression" dxfId="1" priority="2">
      <formula>OR(AND($O$28&lt;&gt;1,$O$28&lt;&gt;2),$O$39&lt;&gt;1)</formula>
    </cfRule>
  </conditionalFormatting>
  <conditionalFormatting sqref="O37:O39">
    <cfRule type="expression" dxfId="0" priority="1">
      <formula>AND($O$28&lt;&gt;1,$O$28&lt;&gt;2)</formula>
    </cfRule>
  </conditionalFormatting>
  <dataValidations count="13">
    <dataValidation type="list" allowBlank="1" showErrorMessage="1" errorTitle="売買区分　入力値エラー" error="1，3以外の数値は入力できません" promptTitle="売買区分" prompt="1:売（売建）_x000a_3:買（買建)" sqref="O27" xr:uid="{9136CCC8-03DE-4F00-A58A-30F15B45134B}">
      <formula1>"1,3"</formula1>
    </dataValidation>
    <dataValidation type="list" allowBlank="1" showErrorMessage="1" errorTitle="セット注文価格区分 入力値エラー" error="1,2以外の数値は入力できません" promptTitle="セット注文価格区分" prompt="1:指値_x000a_2:値幅指定_x000a_" sqref="O42" xr:uid="{95B31F7D-D91C-42F0-A494-3BC13F6559E5}">
      <formula1>"1,2"</formula1>
    </dataValidation>
    <dataValidation type="list" allowBlank="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O44" xr:uid="{6D991FA8-63B2-4436-A0F2-FD6F3A23D29E}">
      <formula1>"1,2,3,4,5,6,7"</formula1>
    </dataValidation>
    <dataValidation type="list" allowBlank="1" showErrorMessage="1" errorTitle="セット注文区分　入力値エラー" error="0,1以外の数値は入力できません" promptTitle="セット注文区分" prompt="0:予約しない_x000a_1:予約する" sqref="O41" xr:uid="{13128B03-512B-4C73-9990-6B0B49FC7400}">
      <formula1>"0,1"</formula1>
    </dataValidation>
    <dataValidation type="list" allowBlank="1" showErrorMessage="1" errorTitle="逆指値価格区分　入力値エラー" error="0,1以外の数値は入力できません" promptTitle="逆指値価格区分" prompt="0:成行_x000a_1:指値" sqref="O39" xr:uid="{AB6A8831-A1E4-4CD8-BFDB-839728A39A2B}">
      <formula1>"0,1"</formula1>
    </dataValidation>
    <dataValidation type="list" allowBlank="1" showErrorMessage="1" errorTitle="逆指値条件区分　入力値エラー" error="1,2以外の数値は入力できません" promptTitle="逆指値条件区分" prompt="1:以上_x000a_2:以下" sqref="O38" xr:uid="{D95DFDEA-7C0F-4C24-9208-E2AB5345624A}">
      <formula1>"1,2"</formula1>
    </dataValidation>
    <dataValidation type="list" allowBlank="1" showErrorMessage="1" errorTitle="価格区分　入力値エラー" error="0，1以外の数値は入力できません" promptTitle="価格区分" prompt="0：成行_x000a_1：指値" sqref="O32" xr:uid="{071AD952-0E12-411A-9A5E-01D059238883}">
      <formula1>"0,1"</formula1>
    </dataValidation>
    <dataValidation type="list" allowBlank="1" showErrorMessage="1" errorTitle="執行条件　入力値エラー" error="1,2,3,4,5,6,7以外の数値は入力できません" promptTitle="執行条件" prompt="1:本日中_x000a_2:今週中_x000a_3:寄付_x000a_4:引け_x000a_5:期間指定_x000a_6:大引不成_x000a_7:不成" sqref="O34" xr:uid="{0271C9EB-BD73-4219-A9D8-6D63DFE47EE7}">
      <formula1>"1,2,3,4,5,6,7"</formula1>
    </dataValidation>
    <dataValidation type="list" allowBlank="1" showErrorMessage="1" errorTitle="口座区分　入力値エラー" error="0,1,2以外の数値は入力できません" promptTitle="口座区分" prompt="0:特定_x000a_1:一般_x000a_2:NISA" sqref="O36" xr:uid="{5405C507-C197-4B13-B1BA-113FA5D54FB0}">
      <formula1>"0,1,2"</formula1>
    </dataValidation>
    <dataValidation type="list" allowBlank="1" showErrorMessage="1" errorTitle="信用区分" error="1,2,3,4以外の数値は入力できません" promptTitle="信用区分" prompt="1:制度信用（６か月）_x000a_2:一般信用（無期限）_x000a_3:一般信用（14日）_x000a_4:一般信用（いちにち）" sqref="O30" xr:uid="{679EAA3E-2095-490A-8A4D-51353947F810}">
      <formula1>"1,2,3,4"</formula1>
    </dataValidation>
    <dataValidation type="list" allowBlank="1" showErrorMessage="1" errorTitle="SOR区分" error="0，1以外の数値は入力できません" promptTitle="SOR区分" prompt="0:通常注文_x000a_1:SOR注文" sqref="O29" xr:uid="{880383D3-9623-46CA-8464-F30852877408}">
      <formula1>"0,1"</formula1>
    </dataValidation>
    <dataValidation type="list" allowBlank="1" showErrorMessage="1" errorTitle="入力値エラー" error="0，1以外の数値は入力できません" promptTitle="注文種類" prompt="0：現物_x000a_1：信用" sqref="O26" xr:uid="{31736301-911E-4FB5-A683-1132714798BB}">
      <formula1>"0,1"</formula1>
    </dataValidation>
    <dataValidation type="list" allowBlank="1" showErrorMessage="1" errorTitle="注文区分　入力値エラー" error="0,1,2以外の数値は入力できません" promptTitle="注文区分" prompt="0:通常注文_x000a_1:指値付通常注文_x000a_2:逆指値注文" sqref="O28" xr:uid="{C2081845-42BB-4ECC-B431-DD1183F2AFE6}">
      <formula1>"0,1,2"</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目次</vt:lpstr>
      <vt:lpstr>一括発注_国内株</vt:lpstr>
      <vt:lpstr>一括発注_先物OP</vt:lpstr>
      <vt:lpstr>トリガー発注</vt:lpstr>
      <vt:lpstr>発注ID一覧</vt:lpstr>
      <vt:lpstr>建玉一覧</vt:lpstr>
      <vt:lpstr>トリガー発注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Kawakami, Taichi</dc:creator>
  <cp:lastModifiedBy>ひろと さかもと</cp:lastModifiedBy>
  <dcterms:created xsi:type="dcterms:W3CDTF">2021-05-24T19:40:01Z</dcterms:created>
  <dcterms:modified xsi:type="dcterms:W3CDTF">2026-02-03T11:25:47Z</dcterms:modified>
</cp:coreProperties>
</file>